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Backlog" sheetId="2" state="visible" r:id="rId4"/>
    <sheet name="Synthèse" sheetId="3" state="visible" r:id="rId5"/>
  </sheets>
  <definedNames>
    <definedName function="false" hidden="true" localSheetId="1" name="_xlnm._FilterDatabase" vbProcedure="false">Backlog!$A$1:$J$99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<sst xmlns="http://schemas.openxmlformats.org/spreadsheetml/2006/main" count="1046" uniqueCount="490">
  <si>
    <t xml:space="preserve">Backlog consolidé — Plateforme de collaboration visuelle</t>
  </si>
  <si>
    <t xml:space="preserve">Objet</t>
  </si>
  <si>
    <t xml:space="preserve">Backlog unique consolidant les exigences des 4 cahiers de spécifications (Miro, MS Whiteboard, Klaxoon, FigJam), dédoublonnées et repriorisées selon le dossier de synthèse du 3 juillet 2026.</t>
  </si>
  <si>
    <t xml:space="preserve">Logique de priorisation</t>
  </si>
  <si>
    <t xml:space="preserve">P0 — Socle</t>
  </si>
  <si>
    <t xml:space="preserve">Intersection des 4 outils (dossier §4) : le minimum absolu de la catégorie, non différenciant. MoSCoW : Must. Cible : Lot 1.</t>
  </si>
  <si>
    <t xml:space="preserve">P1 — Attendu &amp; SI</t>
  </si>
  <si>
    <t xml:space="preserve">Intersections 2-3/4 (dossier §5) + exigences critiques issues des insights SI (I2 à I9). Cible : Lots 1-2.</t>
  </si>
  <si>
    <t xml:space="preserve">P2 — Différenciant</t>
  </si>
  <si>
    <t xml:space="preserve">Fonctionnalités rares, présentes chez 1 seul outil (dossier §6). À activer selon le positionnement choisi (échelle, présentiel, formation, design). Cible : Lots 3-4.</t>
  </si>
  <si>
    <t xml:space="preserve">P3 — Innovation</t>
  </si>
  <si>
    <t xml:space="preserve">Bonus B1-B8 (dossier §7) : absents du marché, différenciation d'un nouvel entrant. Cible : Lot 4.</t>
  </si>
  <si>
    <t xml:space="preserve">Colonnes</t>
  </si>
  <si>
    <t xml:space="preserve">Origine</t>
  </si>
  <si>
    <t xml:space="preserve">Socle 4/4, Intersection n/4, Différenciant [outil], Bonus Bn, Insight In, NFR.</t>
  </si>
  <si>
    <t xml:space="preserve">Complexité</t>
  </si>
  <si>
    <t xml:space="preserve">S (jours), M (1-2 sprints), L (3-6 sprints), XL (chantier).</t>
  </si>
  <si>
    <t xml:space="preserve">Épique E16</t>
  </si>
  <si>
    <t xml:space="preserve">Chantiers SI hors produit : décisions de gouvernance, contractualisation, adoption.</t>
  </si>
  <si>
    <t xml:space="preserve">Total items</t>
  </si>
  <si>
    <t xml:space="preserve">ID</t>
  </si>
  <si>
    <t xml:space="preserve">Épique</t>
  </si>
  <si>
    <t xml:space="preserve">Item</t>
  </si>
  <si>
    <t xml:space="preserve">Description</t>
  </si>
  <si>
    <t xml:space="preserve">Priorité</t>
  </si>
  <si>
    <t xml:space="preserve">MoSCoW</t>
  </si>
  <si>
    <t xml:space="preserve">Lot cible</t>
  </si>
  <si>
    <t xml:space="preserve">Justification (dossier)</t>
  </si>
  <si>
    <t xml:space="preserve">BL-001</t>
  </si>
  <si>
    <t xml:space="preserve">E01 Canevas &amp; objets</t>
  </si>
  <si>
    <t xml:space="preserve">Canevas partagé infini</t>
  </si>
  <si>
    <t xml:space="preserve">Canevas zoomable et navigable sans limite fonctionnelle de taille, utilisable souris, tactile et stylet.</t>
  </si>
  <si>
    <t xml:space="preserve">P0</t>
  </si>
  <si>
    <t xml:space="preserve">Must</t>
  </si>
  <si>
    <t xml:space="preserve">Lot 1</t>
  </si>
  <si>
    <t xml:space="preserve">Socle 4/4</t>
  </si>
  <si>
    <t xml:space="preserve">Dossier §4 : socle commoditisé, présent chez les 4</t>
  </si>
  <si>
    <t xml:space="preserve">M</t>
  </si>
  <si>
    <t xml:space="preserve">BL-002</t>
  </si>
  <si>
    <t xml:space="preserve">Pense-bêtes (sticky notes)</t>
  </si>
  <si>
    <t xml:space="preserve">Création rapide de notes avec couleurs, attribution d'auteur paramétrable.</t>
  </si>
  <si>
    <t xml:space="preserve">Dossier §4</t>
  </si>
  <si>
    <t xml:space="preserve">S</t>
  </si>
  <si>
    <t xml:space="preserve">BL-003</t>
  </si>
  <si>
    <t xml:space="preserve">Formes, connecteurs, texte</t>
  </si>
  <si>
    <t xml:space="preserve">Formes géométriques, connecteurs magnétiques alignés sur grille, zones de texte.</t>
  </si>
  <si>
    <t xml:space="preserve">BL-004</t>
  </si>
  <si>
    <t xml:space="preserve">Dessin à main levée</t>
  </si>
  <si>
    <t xml:space="preserve">Stylo, surligneur, gomme ; écriture fluide au stylet et au doigt.</t>
  </si>
  <si>
    <t xml:space="preserve">BL-005</t>
  </si>
  <si>
    <t xml:space="preserve">Insertion d'images et fichiers</t>
  </si>
  <si>
    <t xml:space="preserve">Import d'images, PDF et documents sur le canevas avec annotation par-dessus.</t>
  </si>
  <si>
    <t xml:space="preserve">BL-006</t>
  </si>
  <si>
    <t xml:space="preserve">Organisation des objets</t>
  </si>
  <si>
    <t xml:space="preserve">Sélection multiple, groupement, alignement/magnétisme, verrouillage, copier/coller.</t>
  </si>
  <si>
    <t xml:space="preserve">BL-007</t>
  </si>
  <si>
    <t xml:space="preserve">Sections / cadres (frames)</t>
  </si>
  <si>
    <t xml:space="preserve">Conteneurs regroupant des objets, déplaçables d'un bloc, base du mode présentation.</t>
  </si>
  <si>
    <t xml:space="preserve">Dossier §4 (frames Miro, sections FigJam)</t>
  </si>
  <si>
    <t xml:space="preserve">BL-008</t>
  </si>
  <si>
    <t xml:space="preserve">E02 Collaboration temps réel</t>
  </si>
  <si>
    <t xml:space="preserve">Édition simultanée temps réel</t>
  </si>
  <si>
    <t xml:space="preserve">Co-édition multi-utilisateurs avec propagation &lt; 1 s.</t>
  </si>
  <si>
    <t xml:space="preserve">XL</t>
  </si>
  <si>
    <t xml:space="preserve">BL-009</t>
  </si>
  <si>
    <t xml:space="preserve">Présence et curseurs nommés</t>
  </si>
  <si>
    <t xml:space="preserve">Curseurs/avatars visibles, liste des participants présents.</t>
  </si>
  <si>
    <t xml:space="preserve">BL-010</t>
  </si>
  <si>
    <t xml:space="preserve">Commentaires ancrés</t>
  </si>
  <si>
    <t xml:space="preserve">Fils de discussion sur objets, mentions @, notifications.</t>
  </si>
  <si>
    <t xml:space="preserve">BL-011</t>
  </si>
  <si>
    <t xml:space="preserve">Enregistrement automatique continu</t>
  </si>
  <si>
    <t xml:space="preserve">Sauvegarde cloud permanente, reprise transparente sur tout appareil, zéro perte.</t>
  </si>
  <si>
    <t xml:space="preserve">L</t>
  </si>
  <si>
    <t xml:space="preserve">BL-012</t>
  </si>
  <si>
    <t xml:space="preserve">E04 Modèles</t>
  </si>
  <si>
    <t xml:space="preserve">Bibliothèque de modèles</t>
  </si>
  <si>
    <t xml:space="preserve">Modèles prêts à l'emploi : brainstorming, rétrospective, Kanban, SWOT, parcours client, plan d'action.</t>
  </si>
  <si>
    <t xml:space="preserve">BL-013</t>
  </si>
  <si>
    <t xml:space="preserve">Modèles personnalisés d'organisation</t>
  </si>
  <si>
    <t xml:space="preserve">Création, enregistrement et partage de modèles à l'image de marque (couleurs, logos).</t>
  </si>
  <si>
    <t xml:space="preserve">BL-014</t>
  </si>
  <si>
    <t xml:space="preserve">E08 Partage &amp; administration</t>
  </si>
  <si>
    <t xml:space="preserve">Partage par lien avec droits</t>
  </si>
  <si>
    <t xml:space="preserve">Portées privé/équipe/organisation/externe ; rôles éditeur, commentateur, lecteur ; révocation.</t>
  </si>
  <si>
    <t xml:space="preserve">BL-015</t>
  </si>
  <si>
    <t xml:space="preserve">Hiérarchie des espaces</t>
  </si>
  <si>
    <t xml:space="preserve">Organisation &gt; équipes &gt; projets &gt; boards, avec brouillons personnels et recherche/tri des boards.</t>
  </si>
  <si>
    <t xml:space="preserve">Socle 4/4 + limite MSW</t>
  </si>
  <si>
    <t xml:space="preserve">Dossier §4 ; organisation des tableaux = faiblesse documentée MSW</t>
  </si>
  <si>
    <t xml:space="preserve">BL-016</t>
  </si>
  <si>
    <t xml:space="preserve">Export image et PDF</t>
  </si>
  <si>
    <t xml:space="preserve">Export du board en PNG/JPG et PDF, dès le premier plan (y compris gratuit).</t>
  </si>
  <si>
    <t xml:space="preserve">Socle 4/4 + limite Klaxoon</t>
  </si>
  <si>
    <t xml:space="preserve">Dossier §4 ; export absent du gratuit Klaxoon = anti-pattern</t>
  </si>
  <si>
    <t xml:space="preserve">BL-017</t>
  </si>
  <si>
    <t xml:space="preserve">E10 Plateformes</t>
  </si>
  <si>
    <t xml:space="preserve">Applications web, desktop, mobile</t>
  </si>
  <si>
    <t xml:space="preserve">Web (navigateurs récents), desktop, mobile/tablette avec parité sur la participation.</t>
  </si>
  <si>
    <t xml:space="preserve">BL-018</t>
  </si>
  <si>
    <t xml:space="preserve">E09 Sécurité &amp; gouvernance</t>
  </si>
  <si>
    <t xml:space="preserve">SSO d'entreprise</t>
  </si>
  <si>
    <t xml:space="preserve">SAML 2.0 / OIDC, MFA héritée des politiques de l'organisation.</t>
  </si>
  <si>
    <t xml:space="preserve">Socle 4/4 (plans sup.)</t>
  </si>
  <si>
    <t xml:space="preserve">Dossier §4 ; insight I2</t>
  </si>
  <si>
    <t xml:space="preserve">BL-019</t>
  </si>
  <si>
    <t xml:space="preserve">Chiffrement</t>
  </si>
  <si>
    <t xml:space="preserve">TLS 1.2+ en transit, AES-256 au repos.</t>
  </si>
  <si>
    <t xml:space="preserve">Cahiers ENF-SEC des 4 outils</t>
  </si>
  <si>
    <t xml:space="preserve">BL-020</t>
  </si>
  <si>
    <t xml:space="preserve">Conformité RGPD</t>
  </si>
  <si>
    <t xml:space="preserve">Conformité RGPD, DPA, registre des traitements ; certifications ISO 27001 / SOC 2 visées.</t>
  </si>
  <si>
    <t xml:space="preserve">BL-021</t>
  </si>
  <si>
    <t xml:space="preserve">E13 Performance &amp; NFR</t>
  </si>
  <si>
    <t xml:space="preserve">Latence temps réel &lt; 500 ms</t>
  </si>
  <si>
    <t xml:space="preserve">Propagation des modifications &lt; 500 ms en conditions nominales.</t>
  </si>
  <si>
    <t xml:space="preserve">Socle 4/4 (NFR)</t>
  </si>
  <si>
    <t xml:space="preserve">Cahiers ENF-PRF</t>
  </si>
  <si>
    <t xml:space="preserve">BL-022</t>
  </si>
  <si>
    <t xml:space="preserve">Disponibilité 99,9 %</t>
  </si>
  <si>
    <t xml:space="preserve">SLA &gt;= 99,9 %, page de statut publique, maintenance hors heures ouvrées européennes.</t>
  </si>
  <si>
    <t xml:space="preserve">Cahiers ENF-DIS</t>
  </si>
  <si>
    <t xml:space="preserve">BL-023</t>
  </si>
  <si>
    <t xml:space="preserve">Résilience réseau</t>
  </si>
  <si>
    <t xml:space="preserve">Resynchronisation transparente après coupure, aucune perte de contribution.</t>
  </si>
  <si>
    <t xml:space="preserve">BL-024</t>
  </si>
  <si>
    <t xml:space="preserve">Localisation FR/EN</t>
  </si>
  <si>
    <t xml:space="preserve">Interface localisée a minima en français et en anglais.</t>
  </si>
  <si>
    <t xml:space="preserve">Cahiers ENF-CMP</t>
  </si>
  <si>
    <t xml:space="preserve">BL-025</t>
  </si>
  <si>
    <t xml:space="preserve">E06 Intelligence artificielle</t>
  </si>
  <si>
    <t xml:space="preserve">IA : clustering des contributions</t>
  </si>
  <si>
    <t xml:space="preserve">Regroupement automatique des notes par thème/mot-clé/sentiment avec étiquetage des groupes.</t>
  </si>
  <si>
    <t xml:space="preserve">P1</t>
  </si>
  <si>
    <t xml:space="preserve">Lot 2</t>
  </si>
  <si>
    <t xml:space="preserve">Intersection 3/4 (Miro, Klaxoon, FigJam)</t>
  </si>
  <si>
    <t xml:space="preserve">Dossier §5.1 : attendu du marché ; absent MSW = son grand retard</t>
  </si>
  <si>
    <t xml:space="preserve">BL-026</t>
  </si>
  <si>
    <t xml:space="preserve">IA : génération par invite</t>
  </si>
  <si>
    <t xml:space="preserve">Génération de trames d'atelier, modèles, plannings et diagrammes en langage naturel.</t>
  </si>
  <si>
    <t xml:space="preserve">Should</t>
  </si>
  <si>
    <t xml:space="preserve">Intersection 3/4</t>
  </si>
  <si>
    <t xml:space="preserve">Dossier §5.1</t>
  </si>
  <si>
    <t xml:space="preserve">BL-027</t>
  </si>
  <si>
    <t xml:space="preserve">IA : synthèse en actions</t>
  </si>
  <si>
    <t xml:space="preserve">Résumé des contributions sélectionnées en éléments d'action clairs.</t>
  </si>
  <si>
    <t xml:space="preserve">BL-028</t>
  </si>
  <si>
    <t xml:space="preserve">Gouvernance de l'IA</t>
  </si>
  <si>
    <t xml:space="preserve">Désactivation par l'administrateur, quotas visibles, localisation des traitements, non-réutilisation pour l'entraînement (contractualisée).</t>
  </si>
  <si>
    <t xml:space="preserve">Insight I6</t>
  </si>
  <si>
    <t xml:space="preserve">Dossier §8-I6 : l'IA gouvernée dès le premier jour</t>
  </si>
  <si>
    <t xml:space="preserve">BL-029</t>
  </si>
  <si>
    <t xml:space="preserve">E03 Facilitation &amp; ateliers</t>
  </si>
  <si>
    <t xml:space="preserve">Vote structuré</t>
  </si>
  <si>
    <t xml:space="preserve">Dot voting sur les objets, résultats agrégés, masquage pendant le vote.</t>
  </si>
  <si>
    <t xml:space="preserve">Dossier §5.1 ; absent en natif MSW</t>
  </si>
  <si>
    <t xml:space="preserve">BL-030</t>
  </si>
  <si>
    <t xml:space="preserve">Minuteur partagé</t>
  </si>
  <si>
    <t xml:space="preserve">Minuteur visible par tous les participants.</t>
  </si>
  <si>
    <t xml:space="preserve">BL-031</t>
  </si>
  <si>
    <t xml:space="preserve">Mode présentation</t>
  </si>
  <si>
    <t xml:space="preserve">Navigation séquentielle par cadres, guidage de l'ordre du jour sans quitter l'outil.</t>
  </si>
  <si>
    <t xml:space="preserve">BL-032</t>
  </si>
  <si>
    <t xml:space="preserve">Gestion de l'attention</t>
  </si>
  <si>
    <t xml:space="preserve">Suivre un participant, ramener tout le monde sur une zone donnée.</t>
  </si>
  <si>
    <t xml:space="preserve">Intersection 3/4 (Miro, MSW, FigJam)</t>
  </si>
  <si>
    <t xml:space="preserve">BL-033</t>
  </si>
  <si>
    <t xml:space="preserve">Anonymat contrôlé</t>
  </si>
  <si>
    <t xml:space="preserve">Mode nominatif/pseudonyme/anonyme des contributions, piloté par l'animateur.</t>
  </si>
  <si>
    <t xml:space="preserve">Intersection partielle + limite FigJam</t>
  </si>
  <si>
    <t xml:space="preserve">Dossier §5 ; anonymat partiel FigJam = limite documentée</t>
  </si>
  <si>
    <t xml:space="preserve">BL-034</t>
  </si>
  <si>
    <t xml:space="preserve">Quiz et sondages natifs</t>
  </si>
  <si>
    <t xml:space="preserve">Quiz à correction automatique, sondages avec résultats agrégés en temps réel.</t>
  </si>
  <si>
    <t xml:space="preserve">Intersection 2/4 (Klaxoon, MSW via Forms)</t>
  </si>
  <si>
    <t xml:space="preserve">Dossier §5.2 ; cœur de métier Klaxoon en voie de généralisation</t>
  </si>
  <si>
    <t xml:space="preserve">BL-035</t>
  </si>
  <si>
    <t xml:space="preserve">E11 Engagement</t>
  </si>
  <si>
    <t xml:space="preserve">Réactions temps réel</t>
  </si>
  <si>
    <t xml:space="preserve">Tampons, émojis, applaudissements sur objets et canevas.</t>
  </si>
  <si>
    <t xml:space="preserve">Intersection 3/4 (MSW, Klaxoon, FigJam)</t>
  </si>
  <si>
    <t xml:space="preserve">Dossier §5.1 : marqueur des outils orientés engagement</t>
  </si>
  <si>
    <t xml:space="preserve">BL-036</t>
  </si>
  <si>
    <t xml:space="preserve">E05 Diagrammes &amp; structuration</t>
  </si>
  <si>
    <t xml:space="preserve">Diagrammes structurés</t>
  </si>
  <si>
    <t xml:space="preserve">Organigrammes, diagrammes de flux, bibliothèques de formes étendues (UML, BPMN).</t>
  </si>
  <si>
    <t xml:space="preserve">Dossier §5.1 ; formes basiques = faiblesse documentée MSW</t>
  </si>
  <si>
    <t xml:space="preserve">BL-037</t>
  </si>
  <si>
    <t xml:space="preserve">Mind mapping</t>
  </si>
  <si>
    <t xml:space="preserve">Cartes mentales avec création rapide de nœuds au clavier.</t>
  </si>
  <si>
    <t xml:space="preserve">BL-038</t>
  </si>
  <si>
    <t xml:space="preserve">E07 Continuum &amp; intégrations</t>
  </si>
  <si>
    <t xml:space="preserve">Intégration visioconférence 1-clic</t>
  </si>
  <si>
    <t xml:space="preserve">Ouverture du board dans Teams/Meet/Zoom sans changement d'application ni réauthentification.</t>
  </si>
  <si>
    <t xml:space="preserve">Dossier §5.1 ; le standard fixé par MSW/Teams</t>
  </si>
  <si>
    <t xml:space="preserve">BL-039</t>
  </si>
  <si>
    <t xml:space="preserve">Synchronisation gestion de projet</t>
  </si>
  <si>
    <t xml:space="preserve">Synchronisation bidirectionnelle avec l'outil de gestion du travail en place (Jira, Azure DevOps, Asana, Wrike) : idées -&gt; tâches et retour.</t>
  </si>
  <si>
    <t xml:space="preserve">Intersection 3/4 + Insight I5</t>
  </si>
  <si>
    <t xml:space="preserve">Dossier §8-I5 : 'un board isolé est un cimetière d'idées' — Must absolu</t>
  </si>
  <si>
    <t xml:space="preserve">BL-040</t>
  </si>
  <si>
    <t xml:space="preserve">Accès invité sans compte</t>
  </si>
  <si>
    <t xml:space="preserve">Rejoindre par lien/code sans création de compte, droits restreints à la participation.</t>
  </si>
  <si>
    <t xml:space="preserve">Intersection 2/4 (Klaxoon Go, Miro) + Insight I4</t>
  </si>
  <si>
    <t xml:space="preserve">Dossier §8-I4 : LE point de friction ; friction MSW = contre-exemple</t>
  </si>
  <si>
    <t xml:space="preserve">BL-041</t>
  </si>
  <si>
    <t xml:space="preserve">Politique d'accès externes</t>
  </si>
  <si>
    <t xml:space="preserve">Politique RSSI écrite avant déploiement : invités autorisés, anonymes, périmètres de boards ouverts.</t>
  </si>
  <si>
    <t xml:space="preserve">Insight I4</t>
  </si>
  <si>
    <t xml:space="preserve">Dossier §8-I4 : arbitrage sécurité/fluidité explicite</t>
  </si>
  <si>
    <t xml:space="preserve">BL-042</t>
  </si>
  <si>
    <t xml:space="preserve">Historique de versions</t>
  </si>
  <si>
    <t xml:space="preserve">Versions horodatées du board avec restauration.</t>
  </si>
  <si>
    <t xml:space="preserve">Intersection 2/4 (Miro, FigJam)</t>
  </si>
  <si>
    <t xml:space="preserve">Dossier §5.2 ; étonnamment absent chez MSW et Klaxoon</t>
  </si>
  <si>
    <t xml:space="preserve">BL-043</t>
  </si>
  <si>
    <t xml:space="preserve">Reconnaissance d'encre</t>
  </si>
  <si>
    <t xml:space="preserve">Conversion automatique des tracés en formes propres et connecteurs (désactivable).</t>
  </si>
  <si>
    <t xml:space="preserve">Intersection 2/4 (MSW, Miro)</t>
  </si>
  <si>
    <t xml:space="preserve">Dossier §5.2 ; force historique Microsoft</t>
  </si>
  <si>
    <t xml:space="preserve">BL-044</t>
  </si>
  <si>
    <t xml:space="preserve">Audio/vidéo natif au board</t>
  </si>
  <si>
    <t xml:space="preserve">Tchat audio (a minima) intégré au board, sans dépendance à un outil externe.</t>
  </si>
  <si>
    <t xml:space="preserve">Could</t>
  </si>
  <si>
    <t xml:space="preserve">Lot 3</t>
  </si>
  <si>
    <t xml:space="preserve">Intersection 2/4 (Miro vidéo, FigJam audio)</t>
  </si>
  <si>
    <t xml:space="preserve">Dossier §5.2</t>
  </si>
  <si>
    <t xml:space="preserve">BL-045</t>
  </si>
  <si>
    <t xml:space="preserve">Journaux d'audit</t>
  </si>
  <si>
    <t xml:space="preserve">Audit des accès, partages et actions d'administration, exportable vers le SIEM.</t>
  </si>
  <si>
    <t xml:space="preserve">Intersection (plans Enterprise) + Insight I2</t>
  </si>
  <si>
    <t xml:space="preserve">Dossier §8-I2 : critère n°1 DSI</t>
  </si>
  <si>
    <t xml:space="preserve">BL-046</t>
  </si>
  <si>
    <t xml:space="preserve">Classification et DLP</t>
  </si>
  <si>
    <t xml:space="preserve">Classification des boards, restriction du partage externe par politique, filigranes.</t>
  </si>
  <si>
    <t xml:space="preserve">Insight I2</t>
  </si>
  <si>
    <t xml:space="preserve">Dossier §8-I2</t>
  </si>
  <si>
    <t xml:space="preserve">BL-047</t>
  </si>
  <si>
    <t xml:space="preserve">Résidence des données UE</t>
  </si>
  <si>
    <t xml:space="preserve">Localisation UE des données par défaut ou en option contractuelle.</t>
  </si>
  <si>
    <t xml:space="preserve">Dossier §8-I2 ; atout documenté Klaxoon</t>
  </si>
  <si>
    <t xml:space="preserve">BL-048</t>
  </si>
  <si>
    <t xml:space="preserve">Réversibilité des données</t>
  </si>
  <si>
    <t xml:space="preserve">Export structuré complet (objets, positions, liens, auteurs) et procédure de sortie documentée et testée avant signature.</t>
  </si>
  <si>
    <t xml:space="preserve">Insight I9 + Bonus B6</t>
  </si>
  <si>
    <t xml:space="preserve">Dossier §8-I9 : lock-in total chez les 4 = risque majeur</t>
  </si>
  <si>
    <t xml:space="preserve">BL-049</t>
  </si>
  <si>
    <t xml:space="preserve">Provisionnement SCIM</t>
  </si>
  <si>
    <t xml:space="preserve">Provisionnement/déprovisionnement automatique des comptes depuis l'annuaire.</t>
  </si>
  <si>
    <t xml:space="preserve">Intersection (plans Enterprise)</t>
  </si>
  <si>
    <t xml:space="preserve">Cahiers ENF-SEC Miro/FigJam</t>
  </si>
  <si>
    <t xml:space="preserve">BL-050</t>
  </si>
  <si>
    <t xml:space="preserve">E14 Licences &amp; modèle éco.</t>
  </si>
  <si>
    <t xml:space="preserve">Sièges légers participants</t>
  </si>
  <si>
    <t xml:space="preserve">Sièges gratuits ou très bas coût (type Collab ~3 $) pour participants occasionnels et parties prenantes.</t>
  </si>
  <si>
    <t xml:space="preserve">Insight I3 + différenciant FigJam généralisé</t>
  </si>
  <si>
    <t xml:space="preserve">Dossier §8-I3 : 'le modèle à exiger partout'</t>
  </si>
  <si>
    <t xml:space="preserve">BL-051</t>
  </si>
  <si>
    <t xml:space="preserve">Tableau de bord des quotas</t>
  </si>
  <si>
    <t xml:space="preserve">Consommation des quotas (participants, fichiers, crédits IA) visible avec alertes avant plafond.</t>
  </si>
  <si>
    <t xml:space="preserve">Insight I3 + limites Klaxoon/FigJam</t>
  </si>
  <si>
    <t xml:space="preserve">Dossier §8-I3 : quota = risque opérationnel (blocage en réunion)</t>
  </si>
  <si>
    <t xml:space="preserve">BL-052</t>
  </si>
  <si>
    <t xml:space="preserve">Écrans interactifs &amp; multitouch</t>
  </si>
  <si>
    <t xml:space="preserve">Usage sur écrans tactiles de salle : multitouch, écriture simultanée à plusieurs.</t>
  </si>
  <si>
    <t xml:space="preserve">Intersection 2/4 (MSW, Klaxoon)</t>
  </si>
  <si>
    <t xml:space="preserve">Dossier §5.2 : le présentiel équipé</t>
  </si>
  <si>
    <t xml:space="preserve">BL-053</t>
  </si>
  <si>
    <t xml:space="preserve">E12 Extensibilité</t>
  </si>
  <si>
    <t xml:space="preserve">API publique documentée</t>
  </si>
  <si>
    <t xml:space="preserve">API REST/SDK pour automatisation et intégrations tierces.</t>
  </si>
  <si>
    <t xml:space="preserve">BL-054</t>
  </si>
  <si>
    <t xml:space="preserve">Contenus synchronisés inter-apps</t>
  </si>
  <si>
    <t xml:space="preserve">Blocs vivants (type Loop / cartes synchronisées) partagés entre board, messagerie, e-mails, documents.</t>
  </si>
  <si>
    <t xml:space="preserve">Intersection 2/4 (MSW Loop, Miro cartes Jira)</t>
  </si>
  <si>
    <t xml:space="preserve">Dossier §5.2 : préfiguration du board connecté au SI</t>
  </si>
  <si>
    <t xml:space="preserve">BL-055</t>
  </si>
  <si>
    <t xml:space="preserve">Fluidité sur boards chargés</t>
  </si>
  <si>
    <t xml:space="preserve">Navigation &gt;= 30 fps sur boards de 10 000 objets.</t>
  </si>
  <si>
    <t xml:space="preserve">NFR + faiblesses Miro/MSW documentées</t>
  </si>
  <si>
    <t xml:space="preserve">Dossier §4 : les écarts se jouent sur l'exécution</t>
  </si>
  <si>
    <t xml:space="preserve">BL-056</t>
  </si>
  <si>
    <t xml:space="preserve">Chargement initial &lt; 3 s</t>
  </si>
  <si>
    <t xml:space="preserve">Ouverture d'un board standard en moins de 3 secondes, y compris sur web.</t>
  </si>
  <si>
    <t xml:space="preserve">NFR + lenteurs MSW documentées</t>
  </si>
  <si>
    <t xml:space="preserve">BL-057</t>
  </si>
  <si>
    <t xml:space="preserve">Montée en charge d'atelier</t>
  </si>
  <si>
    <t xml:space="preserve">Arrivée de 100+ participants en &lt; 1 min sans dégradation (cas plénière).</t>
  </si>
  <si>
    <t xml:space="preserve">NFR Klaxoon généralisé</t>
  </si>
  <si>
    <t xml:space="preserve">Cahier Klaxoon ENF-PRF-02</t>
  </si>
  <si>
    <t xml:space="preserve">BL-058</t>
  </si>
  <si>
    <t xml:space="preserve">Latence d'encrage &lt; 50 ms</t>
  </si>
  <si>
    <t xml:space="preserve">Écriture au stylet sans latence perceptible en natif.</t>
  </si>
  <si>
    <t xml:space="preserve">NFR MSW généralisé</t>
  </si>
  <si>
    <t xml:space="preserve">Cahier MSW ENF-PRF-01</t>
  </si>
  <si>
    <t xml:space="preserve">BL-059</t>
  </si>
  <si>
    <t xml:space="preserve">Accessibilité WCAG 2.1 AA</t>
  </si>
  <si>
    <t xml:space="preserve">Navigation clavier, lecteurs d'écran, contrastes ; déclaration publiée.</t>
  </si>
  <si>
    <t xml:space="preserve">NFR des 4 cahiers</t>
  </si>
  <si>
    <t xml:space="preserve">BL-060</t>
  </si>
  <si>
    <t xml:space="preserve">Stabilité fonctionnelle</t>
  </si>
  <si>
    <t xml:space="preserve">Aucune suppression de fonctionnalité sans préavis ; feuille de route publique.</t>
  </si>
  <si>
    <t xml:space="preserve">Leçon MSW (développement irrégulier)</t>
  </si>
  <si>
    <t xml:space="preserve">Cahier MSW ENF-DIS-03</t>
  </si>
  <si>
    <t xml:space="preserve">BL-061</t>
  </si>
  <si>
    <t xml:space="preserve">Bibliothèque interne gouvernée</t>
  </si>
  <si>
    <t xml:space="preserve">Modèles internes chartés, à jour, publiés et administrés par un propriétaire désigné.</t>
  </si>
  <si>
    <t xml:space="preserve">Insight I8</t>
  </si>
  <si>
    <t xml:space="preserve">Dossier §8-I8 : condition d'adoption</t>
  </si>
  <si>
    <t xml:space="preserve">BL-062</t>
  </si>
  <si>
    <t xml:space="preserve">Statistiques d'usage</t>
  </si>
  <si>
    <t xml:space="preserve">Tableaux de bord admin : boards actifs, taux de réunions outillées, adoption par équipe.</t>
  </si>
  <si>
    <t xml:space="preserve">Insight I8 + plans Enterprise</t>
  </si>
  <si>
    <t xml:space="preserve">Dossier §8-I8 : mesurer l'usage réel, pas les licences</t>
  </si>
  <si>
    <t xml:space="preserve">BL-063</t>
  </si>
  <si>
    <t xml:space="preserve">Très grande échelle (200 simultanés)</t>
  </si>
  <si>
    <t xml:space="preserve">Supporter 200 collaborateurs simultanés par board (PI Planning multi-équipes).</t>
  </si>
  <si>
    <t xml:space="preserve">P2</t>
  </si>
  <si>
    <t xml:space="preserve">Différenciant Miro</t>
  </si>
  <si>
    <t xml:space="preserve">Dossier §6.1 ; requis seulement si Agile à l'échelle</t>
  </si>
  <si>
    <t xml:space="preserve">BL-064</t>
  </si>
  <si>
    <t xml:space="preserve">Visites guidées asynchrones</t>
  </si>
  <si>
    <t xml:space="preserve">Enregistrement audio/vidéo du board (type Talktrack), consultable pendant l'interaction.</t>
  </si>
  <si>
    <t xml:space="preserve">Dossier §6.1 : l'asynchrone le plus abouti</t>
  </si>
  <si>
    <t xml:space="preserve">BL-065</t>
  </si>
  <si>
    <t xml:space="preserve">Objets de pilotage natifs</t>
  </si>
  <si>
    <t xml:space="preserve">Tables, timelines, documents et diapositives intégrés au canevas.</t>
  </si>
  <si>
    <t xml:space="preserve">Dossier §6.1 : le board devient l'outil de pilotage</t>
  </si>
  <si>
    <t xml:space="preserve">BL-066</t>
  </si>
  <si>
    <t xml:space="preserve">Capture de pense-bêtes physiques</t>
  </si>
  <si>
    <t xml:space="preserve">Numérisation photo des post-its papier avec reconnaissance de texte.</t>
  </si>
  <si>
    <t xml:space="preserve">Dossier §6.1</t>
  </si>
  <si>
    <t xml:space="preserve">BL-067</t>
  </si>
  <si>
    <t xml:space="preserve">Marketplace d'intégrations</t>
  </si>
  <si>
    <t xml:space="preserve">Catalogue étendu d'intégrations natives (objectif 100+) avec apps tierces.</t>
  </si>
  <si>
    <t xml:space="preserve">Lot 4</t>
  </si>
  <si>
    <t xml:space="preserve">Différenciant Miro (160+)</t>
  </si>
  <si>
    <t xml:space="preserve">Dossier §6.1 ; retard documenté Klaxoon/FigJam</t>
  </si>
  <si>
    <t xml:space="preserve">BL-068</t>
  </si>
  <si>
    <t xml:space="preserve">Intégration outils de code</t>
  </si>
  <si>
    <t xml:space="preserve">Exploitation des diagrammes/specs visuelles par les assistants de code (Copilot, Cursor).</t>
  </si>
  <si>
    <t xml:space="preserve">BL-069</t>
  </si>
  <si>
    <t xml:space="preserve">Stockage dans le tenant</t>
  </si>
  <si>
    <t xml:space="preserve">Boards stockés dans l'espace cloud de l'organisation (type OneDrive) : rétention, e-discovery, DLP hérités.</t>
  </si>
  <si>
    <t xml:space="preserve">Différenciant MSW</t>
  </si>
  <si>
    <t xml:space="preserve">Dossier §6.2 : 'aucun autre outil n'offre cela' ; fort si écosystème unifié</t>
  </si>
  <si>
    <t xml:space="preserve">BL-070</t>
  </si>
  <si>
    <t xml:space="preserve">Ink-to-table</t>
  </si>
  <si>
    <t xml:space="preserve">Conversion d'un quadrillage dessiné en tableau éditable.</t>
  </si>
  <si>
    <t xml:space="preserve">Dossier §6.2</t>
  </si>
  <si>
    <t xml:space="preserve">BL-071</t>
  </si>
  <si>
    <t xml:space="preserve">Optimisation salle de réunion</t>
  </si>
  <si>
    <t xml:space="preserve">Session démarrable depuis l'écran de salle (type Surface Hub), latence native quasi nulle.</t>
  </si>
  <si>
    <t xml:space="preserve">BL-072</t>
  </si>
  <si>
    <t xml:space="preserve">Séquençage d'atelier (Session)</t>
  </si>
  <si>
    <t xml:space="preserve">Conteneur agençant plusieurs activités (board, quiz, sondage) en déroulé piloté en direct par l'animateur.</t>
  </si>
  <si>
    <t xml:space="preserve">Différenciant Klaxoon</t>
  </si>
  <si>
    <t xml:space="preserve">Dossier §6.3 : 'unique sur le marché' ; clé si formation/animation</t>
  </si>
  <si>
    <t xml:space="preserve">BL-073</t>
  </si>
  <si>
    <t xml:space="preserve">Parcours gamifié (Aventure)</t>
  </si>
  <si>
    <t xml:space="preserve">Jeu de piste numérique à étapes et challenges, validation d'acquis — orienté formation.</t>
  </si>
  <si>
    <t xml:space="preserve">Dossier §6.3</t>
  </si>
  <si>
    <t xml:space="preserve">BL-074</t>
  </si>
  <si>
    <t xml:space="preserve">Question instantanée &amp; Mémo</t>
  </si>
  <si>
    <t xml:space="preserve">Interpellation d'audience à réponse immédiate ; capsules de contenu asynchrones.</t>
  </si>
  <si>
    <t xml:space="preserve">BL-075</t>
  </si>
  <si>
    <t xml:space="preserve">Mode hors ligne (boîtier local)</t>
  </si>
  <si>
    <t xml:space="preserve">Réseau Wi-Fi local fermé (type Box) : collaboration sans transit Internet.</t>
  </si>
  <si>
    <t xml:space="preserve">Dossier §6.3 : 'exclusivité absolue du marché'</t>
  </si>
  <si>
    <t xml:space="preserve">BL-076</t>
  </si>
  <si>
    <t xml:space="preserve">Hébergement souverain / air-gap</t>
  </si>
  <si>
    <t xml:space="preserve">Options SaaS souverain, dédié, ou déploiement totalement déconnecté.</t>
  </si>
  <si>
    <t xml:space="preserve">Dossier §6.3 ; requis en secteur régulé</t>
  </si>
  <si>
    <t xml:space="preserve">BL-077</t>
  </si>
  <si>
    <t xml:space="preserve">Continuité design</t>
  </si>
  <si>
    <t xml:space="preserve">Import de maquettes réelles (éditables/liées) dans les parcours utilisateurs ; circulation board &lt;-&gt; outil design.</t>
  </si>
  <si>
    <t xml:space="preserve">Différenciant FigJam</t>
  </si>
  <si>
    <t xml:space="preserve">Dossier §6.4 : irremplaçable pour les équipes produit</t>
  </si>
  <si>
    <t xml:space="preserve">BL-078</t>
  </si>
  <si>
    <t xml:space="preserve">Ambiance ludique avancée</t>
  </si>
  <si>
    <t xml:space="preserve">Tchat audio, musique partagée, curseurs expressifs, avatars personnalisés.</t>
  </si>
  <si>
    <t xml:space="preserve">Dossier §6.4 : 'l'outil le plus fun'</t>
  </si>
  <si>
    <t xml:space="preserve">BL-079</t>
  </si>
  <si>
    <t xml:space="preserve">Outils générés par prompt</t>
  </si>
  <si>
    <t xml:space="preserve">Création de plugins/skills personnalisés par invite, partageables dans l'organisation.</t>
  </si>
  <si>
    <t xml:space="preserve">Différenciant FigJam (agent Figma)</t>
  </si>
  <si>
    <t xml:space="preserve">Dossier §6.4 ; frontière 2026 avec les agents Miro</t>
  </si>
  <si>
    <t xml:space="preserve">BL-080</t>
  </si>
  <si>
    <t xml:space="preserve">Widgets communautaires</t>
  </si>
  <si>
    <t xml:space="preserve">Galerie communautaire de widgets et modèles publiée par les utilisateurs (planning poker, matrices).</t>
  </si>
  <si>
    <t xml:space="preserve">Différenciant FigJam/Miro (Miroverse)</t>
  </si>
  <si>
    <t xml:space="preserve">Dossier §6.4</t>
  </si>
  <si>
    <t xml:space="preserve">BL-081</t>
  </si>
  <si>
    <t xml:space="preserve">Agents IA collaboratifs</t>
  </si>
  <si>
    <t xml:space="preserve">Agents opérant sur le board avec plusieurs utilisateurs (type Flows/Sidekicks).</t>
  </si>
  <si>
    <t xml:space="preserve">Dossier §5.2/§6.1 : frontière 2026 de la catégorie</t>
  </si>
  <si>
    <t xml:space="preserve">BL-082</t>
  </si>
  <si>
    <t xml:space="preserve">Mode dégradé consultation</t>
  </si>
  <si>
    <t xml:space="preserve">Consultation du board si le temps réel est indisponible.</t>
  </si>
  <si>
    <t xml:space="preserve">NFR Klaxoon</t>
  </si>
  <si>
    <t xml:space="preserve">Cahier Klaxoon ENF-DIS-03</t>
  </si>
  <si>
    <t xml:space="preserve">BL-083</t>
  </si>
  <si>
    <t xml:space="preserve">E15 Innovation</t>
  </si>
  <si>
    <t xml:space="preserve">Mémoire d'atelier exécutable</t>
  </si>
  <si>
    <t xml:space="preserve">Registre bouclant les actions : réouverture automatique à la rétro suivante, taux de réalisation, engagements non tenus visibles.</t>
  </si>
  <si>
    <t xml:space="preserve">P3</t>
  </si>
  <si>
    <t xml:space="preserve">Bonus B1</t>
  </si>
  <si>
    <t xml:space="preserve">Dossier §7-B1 : 'la valeur se joue après l'atelier ; personne ne l'outille'</t>
  </si>
  <si>
    <t xml:space="preserve">BL-084</t>
  </si>
  <si>
    <t xml:space="preserve">Coffre de décisions</t>
  </si>
  <si>
    <t xml:space="preserve">Registre horodaté, signé et infalsifiable des décisions (qui, quoi, options, vote), exportable vers gouvernance/audit.</t>
  </si>
  <si>
    <t xml:space="preserve">Bonus B2</t>
  </si>
  <si>
    <t xml:space="preserve">Dossier §7-B2 ; traçabilité opposable pour secteurs régulés</t>
  </si>
  <si>
    <t xml:space="preserve">BL-085</t>
  </si>
  <si>
    <t xml:space="preserve">Traduction simultanée</t>
  </si>
  <si>
    <t xml:space="preserve">Chaque participant écrit et lit les contributions dans sa langue, traduction temps réel sur canevas.</t>
  </si>
  <si>
    <t xml:space="preserve">Bonus B3</t>
  </si>
  <si>
    <t xml:space="preserve">Dossier §7-B3 ; aucun des 4 malgré le ciblage multinationales</t>
  </si>
  <si>
    <t xml:space="preserve">BL-086</t>
  </si>
  <si>
    <t xml:space="preserve">Équité de participation</t>
  </si>
  <si>
    <t xml:space="preserve">Tableau de bord animateur : répartition des contributions, signaux, avec garde-fous RGPD (agrégation, consentement).</t>
  </si>
  <si>
    <t xml:space="preserve">Bonus B4</t>
  </si>
  <si>
    <t xml:space="preserve">Dossier §7-B4</t>
  </si>
  <si>
    <t xml:space="preserve">BL-087</t>
  </si>
  <si>
    <t xml:space="preserve">Pont physique-numérique continu</t>
  </si>
  <si>
    <t xml:space="preserve">Fusion en continu mur physique filmé + board numérique : post-its papier reconnus et synchronisés en direct.</t>
  </si>
  <si>
    <t xml:space="preserve">Bonus B5</t>
  </si>
  <si>
    <t xml:space="preserve">Dossier §7-B5 : l'hybride salle+distants, parent pauvre des 4</t>
  </si>
  <si>
    <t xml:space="preserve">BL-088</t>
  </si>
  <si>
    <t xml:space="preserve">Format d'échange ouvert</t>
  </si>
  <si>
    <t xml:space="preserve">Standard export/import inter-outils (objets, positions, liens, auteurs) — réversibilité totale.</t>
  </si>
  <si>
    <t xml:space="preserve">Bonus B6</t>
  </si>
  <si>
    <t xml:space="preserve">Dossier §7-B6 : argument de confiance décisif pour les DSI</t>
  </si>
  <si>
    <t xml:space="preserve">BL-089</t>
  </si>
  <si>
    <t xml:space="preserve">IA souveraine embarquée</t>
  </si>
  <si>
    <t xml:space="preserve">Clustering/synthèse/génération sur modèle local (on-premise ou boîtier), sans envoi au cloud.</t>
  </si>
  <si>
    <t xml:space="preserve">Bonus B7</t>
  </si>
  <si>
    <t xml:space="preserve">Dossier §7-B7 : intersection 'IA + air-gap' couverte par personne</t>
  </si>
  <si>
    <t xml:space="preserve">BL-090</t>
  </si>
  <si>
    <t xml:space="preserve">Board accessible non visuel</t>
  </si>
  <si>
    <t xml:space="preserve">Restitution structurée (vocale, plan textuel navigable) du contenu spatial du canevas pour malvoyants.</t>
  </si>
  <si>
    <t xml:space="preserve">Bonus B8</t>
  </si>
  <si>
    <t xml:space="preserve">Dossier §7-B8 : au-delà du WCAG d'interface</t>
  </si>
  <si>
    <t xml:space="preserve">BL-091</t>
  </si>
  <si>
    <t xml:space="preserve">E16 Chantiers SI</t>
  </si>
  <si>
    <t xml:space="preserve">Standardisation du parc</t>
  </si>
  <si>
    <t xml:space="preserve">Décision : 1 outil socle aligné écosystème + 1 exception spécialisée gouvernée max ; blocage/non-remboursement du reste.</t>
  </si>
  <si>
    <t xml:space="preserve">Insight I7</t>
  </si>
  <si>
    <t xml:space="preserve">Dossier §8-I7 : tuer le shadow IT du whiteboard</t>
  </si>
  <si>
    <t xml:space="preserve">BL-092</t>
  </si>
  <si>
    <t xml:space="preserve">Choix par écosystème</t>
  </si>
  <si>
    <t xml:space="preserve">Grille de choix : M365 -&gt; Whiteboard ; Figma -&gt; FigJam ; Wrike -&gt; Klaxoon ; transverse -&gt; Miro. Ne jamais choisir contre son écosystème.</t>
  </si>
  <si>
    <t xml:space="preserve">Insight I1</t>
  </si>
  <si>
    <t xml:space="preserve">Dossier §8-I1 : 'payer deux fois : la licence et la friction'</t>
  </si>
  <si>
    <t xml:space="preserve">BL-093</t>
  </si>
  <si>
    <t xml:space="preserve">Contractualisation gouvernance</t>
  </si>
  <si>
    <t xml:space="preserve">Exigences contractuelles : classification, audit, partage externe, localisation UE, non-entraînement IA, réversibilité.</t>
  </si>
  <si>
    <t xml:space="preserve">Insights I2, I6, I9</t>
  </si>
  <si>
    <t xml:space="preserve">Dossier §8</t>
  </si>
  <si>
    <t xml:space="preserve">BL-094</t>
  </si>
  <si>
    <t xml:space="preserve">Test de sortie avant signature</t>
  </si>
  <si>
    <t xml:space="preserve">Exécuter et documenter la procédure d'export/sortie complète pendant le POC.</t>
  </si>
  <si>
    <t xml:space="preserve">Insight I9</t>
  </si>
  <si>
    <t xml:space="preserve">Dossier §8-I9</t>
  </si>
  <si>
    <t xml:space="preserve">BL-095</t>
  </si>
  <si>
    <t xml:space="preserve">Réseau d'animateurs référents</t>
  </si>
  <si>
    <t xml:space="preserve">Former un réseau d'animateurs par direction ; parcours de formation facilitation.</t>
  </si>
  <si>
    <t xml:space="preserve">Dossier §8-I8 : 'l'adoption est un projet, pas un déploiement'</t>
  </si>
  <si>
    <t xml:space="preserve">BL-096</t>
  </si>
  <si>
    <t xml:space="preserve">Mesure d'adoption</t>
  </si>
  <si>
    <t xml:space="preserve">KPI : boards actifs, taux de réunions outillées, ateliers avec actions converties — pas les licences distribuées.</t>
  </si>
  <si>
    <t xml:space="preserve">Dossier §8-I8</t>
  </si>
  <si>
    <t xml:space="preserve">BL-097</t>
  </si>
  <si>
    <t xml:space="preserve">Archivage GED des boards critiques</t>
  </si>
  <si>
    <t xml:space="preserve">Export périodique des boards stratégiques vers la GED de l'organisation.</t>
  </si>
  <si>
    <t xml:space="preserve">Dossier §8-I9 ; parade au lock-in en attendant B6</t>
  </si>
  <si>
    <t xml:space="preserve">BL-098</t>
  </si>
  <si>
    <t xml:space="preserve">Négociation licences</t>
  </si>
  <si>
    <t xml:space="preserve">Sièges légers pour occasionnels, engagement pluriannuel indexé sur usage réel, plafonds transparents.</t>
  </si>
  <si>
    <t xml:space="preserve">Insight I3</t>
  </si>
  <si>
    <t xml:space="preserve">Dossier §8-I3</t>
  </si>
  <si>
    <t xml:space="preserve">Synthèse du backlog</t>
  </si>
  <si>
    <t xml:space="preserve">Par priorité</t>
  </si>
  <si>
    <t xml:space="preserve">Nombre</t>
  </si>
  <si>
    <t xml:space="preserve">Par lot</t>
  </si>
  <si>
    <t xml:space="preserve">P0 — Socle (4/4)</t>
  </si>
  <si>
    <t xml:space="preserve">Total</t>
  </si>
  <si>
    <t xml:space="preserve">Par épique</t>
  </si>
  <si>
    <t xml:space="preserve">Items</t>
  </si>
  <si>
    <t xml:space="preserve">dont Must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</si>
</sst>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64.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/>
    </row>
    <row r="5" customFormat="false" ht="15" hidden="false" customHeight="false" outlineLevel="0" collapsed="false">
      <c r="A5" s="2" t="s">
        <v>4</v>
      </c>
      <c r="B5" s="2" t="s">
        <v>5</v>
      </c>
    </row>
    <row r="6" customFormat="false" ht="15" hidden="false" customHeight="false" outlineLevel="0" collapsed="false">
      <c r="A6" s="2" t="s">
        <v>6</v>
      </c>
      <c r="B6" s="2" t="s">
        <v>7</v>
      </c>
    </row>
    <row r="7" customFormat="false" ht="23.85" hidden="false" customHeight="false" outlineLevel="0" collapsed="false">
      <c r="A7" s="2" t="s">
        <v>8</v>
      </c>
      <c r="B7" s="2" t="s">
        <v>9</v>
      </c>
    </row>
    <row r="8" customFormat="false" ht="15" hidden="false" customHeight="false" outlineLevel="0" collapsed="false">
      <c r="A8" s="2" t="s">
        <v>10</v>
      </c>
      <c r="B8" s="2" t="s">
        <v>11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12</v>
      </c>
      <c r="B10" s="2"/>
    </row>
    <row r="11" customFormat="false" ht="15" hidden="false" customHeight="false" outlineLevel="0" collapsed="false">
      <c r="A11" s="2" t="s">
        <v>13</v>
      </c>
      <c r="B11" s="2" t="s">
        <v>14</v>
      </c>
    </row>
    <row r="12" customFormat="false" ht="15" hidden="false" customHeight="false" outlineLevel="0" collapsed="false">
      <c r="A12" s="2" t="s">
        <v>15</v>
      </c>
      <c r="B12" s="2" t="s">
        <v>16</v>
      </c>
    </row>
    <row r="13" customFormat="false" ht="15" hidden="false" customHeight="false" outlineLevel="0" collapsed="false">
      <c r="A13" s="2" t="s">
        <v>17</v>
      </c>
      <c r="B13" s="2" t="s">
        <v>18</v>
      </c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2" t="s">
        <v>19</v>
      </c>
      <c r="B15" s="2" t="n">
        <f aca="false">COUNTA(Backlog!A2:A200)</f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62"/>
    <col collapsed="false" customWidth="true" hidden="false" outlineLevel="0" max="7" min="5" style="0" width="9"/>
    <col collapsed="false" customWidth="true" hidden="false" outlineLevel="0" max="8" min="8" style="0" width="30"/>
    <col collapsed="false" customWidth="true" hidden="false" outlineLevel="0" max="9" min="9" style="0" width="46"/>
    <col collapsed="false" customWidth="true" hidden="false" outlineLevel="0" max="10" min="10" style="0" width="11"/>
  </cols>
  <sheetData>
    <row r="1" customFormat="false" ht="23.85" hidden="false" customHeight="fals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13</v>
      </c>
      <c r="I1" s="4" t="s">
        <v>27</v>
      </c>
      <c r="J1" s="4" t="s">
        <v>15</v>
      </c>
    </row>
    <row r="2" customFormat="false" ht="23.85" hidden="false" customHeight="false" outlineLevel="0" collapsed="false">
      <c r="A2" s="5" t="s">
        <v>28</v>
      </c>
      <c r="B2" s="5" t="s">
        <v>29</v>
      </c>
      <c r="C2" s="5" t="s">
        <v>30</v>
      </c>
      <c r="D2" s="5" t="s">
        <v>31</v>
      </c>
      <c r="E2" s="6" t="s">
        <v>32</v>
      </c>
      <c r="F2" s="7" t="s">
        <v>33</v>
      </c>
      <c r="G2" s="7" t="s">
        <v>34</v>
      </c>
      <c r="H2" s="5" t="s">
        <v>35</v>
      </c>
      <c r="I2" s="5" t="s">
        <v>36</v>
      </c>
      <c r="J2" s="7" t="s">
        <v>37</v>
      </c>
    </row>
    <row r="3" customFormat="false" ht="15" hidden="false" customHeight="false" outlineLevel="0" collapsed="false">
      <c r="A3" s="5" t="s">
        <v>38</v>
      </c>
      <c r="B3" s="5" t="s">
        <v>29</v>
      </c>
      <c r="C3" s="5" t="s">
        <v>39</v>
      </c>
      <c r="D3" s="5" t="s">
        <v>40</v>
      </c>
      <c r="E3" s="6" t="s">
        <v>32</v>
      </c>
      <c r="F3" s="7" t="s">
        <v>33</v>
      </c>
      <c r="G3" s="7" t="s">
        <v>34</v>
      </c>
      <c r="H3" s="5" t="s">
        <v>35</v>
      </c>
      <c r="I3" s="5" t="s">
        <v>41</v>
      </c>
      <c r="J3" s="7" t="s">
        <v>42</v>
      </c>
    </row>
    <row r="4" customFormat="false" ht="23.85" hidden="false" customHeight="false" outlineLevel="0" collapsed="false">
      <c r="A4" s="5" t="s">
        <v>43</v>
      </c>
      <c r="B4" s="5" t="s">
        <v>29</v>
      </c>
      <c r="C4" s="5" t="s">
        <v>44</v>
      </c>
      <c r="D4" s="5" t="s">
        <v>45</v>
      </c>
      <c r="E4" s="6" t="s">
        <v>32</v>
      </c>
      <c r="F4" s="7" t="s">
        <v>33</v>
      </c>
      <c r="G4" s="7" t="s">
        <v>34</v>
      </c>
      <c r="H4" s="5" t="s">
        <v>35</v>
      </c>
      <c r="I4" s="5" t="s">
        <v>41</v>
      </c>
      <c r="J4" s="7" t="s">
        <v>37</v>
      </c>
    </row>
    <row r="5" customFormat="false" ht="15" hidden="false" customHeight="false" outlineLevel="0" collapsed="false">
      <c r="A5" s="5" t="s">
        <v>46</v>
      </c>
      <c r="B5" s="5" t="s">
        <v>29</v>
      </c>
      <c r="C5" s="5" t="s">
        <v>47</v>
      </c>
      <c r="D5" s="5" t="s">
        <v>48</v>
      </c>
      <c r="E5" s="6" t="s">
        <v>32</v>
      </c>
      <c r="F5" s="7" t="s">
        <v>33</v>
      </c>
      <c r="G5" s="7" t="s">
        <v>34</v>
      </c>
      <c r="H5" s="5" t="s">
        <v>35</v>
      </c>
      <c r="I5" s="5" t="s">
        <v>41</v>
      </c>
      <c r="J5" s="7" t="s">
        <v>37</v>
      </c>
    </row>
    <row r="6" customFormat="false" ht="23.85" hidden="false" customHeight="false" outlineLevel="0" collapsed="false">
      <c r="A6" s="5" t="s">
        <v>49</v>
      </c>
      <c r="B6" s="5" t="s">
        <v>29</v>
      </c>
      <c r="C6" s="5" t="s">
        <v>50</v>
      </c>
      <c r="D6" s="5" t="s">
        <v>51</v>
      </c>
      <c r="E6" s="6" t="s">
        <v>32</v>
      </c>
      <c r="F6" s="7" t="s">
        <v>33</v>
      </c>
      <c r="G6" s="7" t="s">
        <v>34</v>
      </c>
      <c r="H6" s="5" t="s">
        <v>35</v>
      </c>
      <c r="I6" s="5" t="s">
        <v>41</v>
      </c>
      <c r="J6" s="7" t="s">
        <v>37</v>
      </c>
    </row>
    <row r="7" customFormat="false" ht="23.85" hidden="false" customHeight="false" outlineLevel="0" collapsed="false">
      <c r="A7" s="5" t="s">
        <v>52</v>
      </c>
      <c r="B7" s="5" t="s">
        <v>29</v>
      </c>
      <c r="C7" s="5" t="s">
        <v>53</v>
      </c>
      <c r="D7" s="5" t="s">
        <v>54</v>
      </c>
      <c r="E7" s="6" t="s">
        <v>32</v>
      </c>
      <c r="F7" s="7" t="s">
        <v>33</v>
      </c>
      <c r="G7" s="7" t="s">
        <v>34</v>
      </c>
      <c r="H7" s="5" t="s">
        <v>35</v>
      </c>
      <c r="I7" s="5" t="s">
        <v>41</v>
      </c>
      <c r="J7" s="7" t="s">
        <v>37</v>
      </c>
    </row>
    <row r="8" customFormat="false" ht="23.85" hidden="false" customHeight="false" outlineLevel="0" collapsed="false">
      <c r="A8" s="5" t="s">
        <v>55</v>
      </c>
      <c r="B8" s="5" t="s">
        <v>29</v>
      </c>
      <c r="C8" s="5" t="s">
        <v>56</v>
      </c>
      <c r="D8" s="5" t="s">
        <v>57</v>
      </c>
      <c r="E8" s="6" t="s">
        <v>32</v>
      </c>
      <c r="F8" s="7" t="s">
        <v>33</v>
      </c>
      <c r="G8" s="7" t="s">
        <v>34</v>
      </c>
      <c r="H8" s="5" t="s">
        <v>35</v>
      </c>
      <c r="I8" s="5" t="s">
        <v>58</v>
      </c>
      <c r="J8" s="7" t="s">
        <v>37</v>
      </c>
    </row>
    <row r="9" customFormat="false" ht="15" hidden="false" customHeight="false" outlineLevel="0" collapsed="false">
      <c r="A9" s="5" t="s">
        <v>59</v>
      </c>
      <c r="B9" s="5" t="s">
        <v>60</v>
      </c>
      <c r="C9" s="5" t="s">
        <v>61</v>
      </c>
      <c r="D9" s="5" t="s">
        <v>62</v>
      </c>
      <c r="E9" s="6" t="s">
        <v>32</v>
      </c>
      <c r="F9" s="7" t="s">
        <v>33</v>
      </c>
      <c r="G9" s="7" t="s">
        <v>34</v>
      </c>
      <c r="H9" s="5" t="s">
        <v>35</v>
      </c>
      <c r="I9" s="5" t="s">
        <v>41</v>
      </c>
      <c r="J9" s="7" t="s">
        <v>63</v>
      </c>
    </row>
    <row r="10" customFormat="false" ht="15" hidden="false" customHeight="false" outlineLevel="0" collapsed="false">
      <c r="A10" s="5" t="s">
        <v>64</v>
      </c>
      <c r="B10" s="5" t="s">
        <v>60</v>
      </c>
      <c r="C10" s="5" t="s">
        <v>65</v>
      </c>
      <c r="D10" s="5" t="s">
        <v>66</v>
      </c>
      <c r="E10" s="6" t="s">
        <v>32</v>
      </c>
      <c r="F10" s="7" t="s">
        <v>33</v>
      </c>
      <c r="G10" s="7" t="s">
        <v>34</v>
      </c>
      <c r="H10" s="5" t="s">
        <v>35</v>
      </c>
      <c r="I10" s="5" t="s">
        <v>41</v>
      </c>
      <c r="J10" s="7" t="s">
        <v>37</v>
      </c>
    </row>
    <row r="11" customFormat="false" ht="15" hidden="false" customHeight="false" outlineLevel="0" collapsed="false">
      <c r="A11" s="5" t="s">
        <v>67</v>
      </c>
      <c r="B11" s="5" t="s">
        <v>60</v>
      </c>
      <c r="C11" s="5" t="s">
        <v>68</v>
      </c>
      <c r="D11" s="5" t="s">
        <v>69</v>
      </c>
      <c r="E11" s="6" t="s">
        <v>32</v>
      </c>
      <c r="F11" s="7" t="s">
        <v>33</v>
      </c>
      <c r="G11" s="7" t="s">
        <v>34</v>
      </c>
      <c r="H11" s="5" t="s">
        <v>35</v>
      </c>
      <c r="I11" s="5" t="s">
        <v>41</v>
      </c>
      <c r="J11" s="7" t="s">
        <v>37</v>
      </c>
    </row>
    <row r="12" customFormat="false" ht="23.85" hidden="false" customHeight="false" outlineLevel="0" collapsed="false">
      <c r="A12" s="5" t="s">
        <v>70</v>
      </c>
      <c r="B12" s="5" t="s">
        <v>60</v>
      </c>
      <c r="C12" s="5" t="s">
        <v>71</v>
      </c>
      <c r="D12" s="5" t="s">
        <v>72</v>
      </c>
      <c r="E12" s="6" t="s">
        <v>32</v>
      </c>
      <c r="F12" s="7" t="s">
        <v>33</v>
      </c>
      <c r="G12" s="7" t="s">
        <v>34</v>
      </c>
      <c r="H12" s="5" t="s">
        <v>35</v>
      </c>
      <c r="I12" s="5" t="s">
        <v>41</v>
      </c>
      <c r="J12" s="7" t="s">
        <v>73</v>
      </c>
    </row>
    <row r="13" customFormat="false" ht="23.85" hidden="false" customHeight="false" outlineLevel="0" collapsed="false">
      <c r="A13" s="5" t="s">
        <v>74</v>
      </c>
      <c r="B13" s="5" t="s">
        <v>75</v>
      </c>
      <c r="C13" s="5" t="s">
        <v>76</v>
      </c>
      <c r="D13" s="5" t="s">
        <v>77</v>
      </c>
      <c r="E13" s="6" t="s">
        <v>32</v>
      </c>
      <c r="F13" s="7" t="s">
        <v>33</v>
      </c>
      <c r="G13" s="7" t="s">
        <v>34</v>
      </c>
      <c r="H13" s="5" t="s">
        <v>35</v>
      </c>
      <c r="I13" s="5" t="s">
        <v>41</v>
      </c>
      <c r="J13" s="7" t="s">
        <v>37</v>
      </c>
    </row>
    <row r="14" customFormat="false" ht="23.85" hidden="false" customHeight="false" outlineLevel="0" collapsed="false">
      <c r="A14" s="5" t="s">
        <v>78</v>
      </c>
      <c r="B14" s="5" t="s">
        <v>75</v>
      </c>
      <c r="C14" s="5" t="s">
        <v>79</v>
      </c>
      <c r="D14" s="5" t="s">
        <v>80</v>
      </c>
      <c r="E14" s="6" t="s">
        <v>32</v>
      </c>
      <c r="F14" s="7" t="s">
        <v>33</v>
      </c>
      <c r="G14" s="7" t="s">
        <v>34</v>
      </c>
      <c r="H14" s="5" t="s">
        <v>35</v>
      </c>
      <c r="I14" s="5" t="s">
        <v>41</v>
      </c>
      <c r="J14" s="7" t="s">
        <v>42</v>
      </c>
    </row>
    <row r="15" customFormat="false" ht="23.85" hidden="false" customHeight="false" outlineLevel="0" collapsed="false">
      <c r="A15" s="5" t="s">
        <v>81</v>
      </c>
      <c r="B15" s="5" t="s">
        <v>82</v>
      </c>
      <c r="C15" s="5" t="s">
        <v>83</v>
      </c>
      <c r="D15" s="5" t="s">
        <v>84</v>
      </c>
      <c r="E15" s="6" t="s">
        <v>32</v>
      </c>
      <c r="F15" s="7" t="s">
        <v>33</v>
      </c>
      <c r="G15" s="7" t="s">
        <v>34</v>
      </c>
      <c r="H15" s="5" t="s">
        <v>35</v>
      </c>
      <c r="I15" s="5" t="s">
        <v>41</v>
      </c>
      <c r="J15" s="7" t="s">
        <v>37</v>
      </c>
    </row>
    <row r="16" customFormat="false" ht="23.85" hidden="false" customHeight="false" outlineLevel="0" collapsed="false">
      <c r="A16" s="5" t="s">
        <v>85</v>
      </c>
      <c r="B16" s="5" t="s">
        <v>82</v>
      </c>
      <c r="C16" s="5" t="s">
        <v>86</v>
      </c>
      <c r="D16" s="5" t="s">
        <v>87</v>
      </c>
      <c r="E16" s="6" t="s">
        <v>32</v>
      </c>
      <c r="F16" s="7" t="s">
        <v>33</v>
      </c>
      <c r="G16" s="7" t="s">
        <v>34</v>
      </c>
      <c r="H16" s="5" t="s">
        <v>88</v>
      </c>
      <c r="I16" s="5" t="s">
        <v>89</v>
      </c>
      <c r="J16" s="7" t="s">
        <v>37</v>
      </c>
    </row>
    <row r="17" customFormat="false" ht="23.85" hidden="false" customHeight="false" outlineLevel="0" collapsed="false">
      <c r="A17" s="5" t="s">
        <v>90</v>
      </c>
      <c r="B17" s="5" t="s">
        <v>82</v>
      </c>
      <c r="C17" s="5" t="s">
        <v>91</v>
      </c>
      <c r="D17" s="5" t="s">
        <v>92</v>
      </c>
      <c r="E17" s="6" t="s">
        <v>32</v>
      </c>
      <c r="F17" s="7" t="s">
        <v>33</v>
      </c>
      <c r="G17" s="7" t="s">
        <v>34</v>
      </c>
      <c r="H17" s="5" t="s">
        <v>93</v>
      </c>
      <c r="I17" s="5" t="s">
        <v>94</v>
      </c>
      <c r="J17" s="7" t="s">
        <v>42</v>
      </c>
    </row>
    <row r="18" customFormat="false" ht="23.85" hidden="false" customHeight="false" outlineLevel="0" collapsed="false">
      <c r="A18" s="5" t="s">
        <v>95</v>
      </c>
      <c r="B18" s="5" t="s">
        <v>96</v>
      </c>
      <c r="C18" s="5" t="s">
        <v>97</v>
      </c>
      <c r="D18" s="5" t="s">
        <v>98</v>
      </c>
      <c r="E18" s="6" t="s">
        <v>32</v>
      </c>
      <c r="F18" s="7" t="s">
        <v>33</v>
      </c>
      <c r="G18" s="7" t="s">
        <v>34</v>
      </c>
      <c r="H18" s="5" t="s">
        <v>35</v>
      </c>
      <c r="I18" s="5" t="s">
        <v>41</v>
      </c>
      <c r="J18" s="7" t="s">
        <v>63</v>
      </c>
    </row>
    <row r="19" customFormat="false" ht="15" hidden="false" customHeight="false" outlineLevel="0" collapsed="false">
      <c r="A19" s="5" t="s">
        <v>99</v>
      </c>
      <c r="B19" s="5" t="s">
        <v>100</v>
      </c>
      <c r="C19" s="5" t="s">
        <v>101</v>
      </c>
      <c r="D19" s="5" t="s">
        <v>102</v>
      </c>
      <c r="E19" s="6" t="s">
        <v>32</v>
      </c>
      <c r="F19" s="7" t="s">
        <v>33</v>
      </c>
      <c r="G19" s="7" t="s">
        <v>34</v>
      </c>
      <c r="H19" s="5" t="s">
        <v>103</v>
      </c>
      <c r="I19" s="5" t="s">
        <v>104</v>
      </c>
      <c r="J19" s="7" t="s">
        <v>37</v>
      </c>
    </row>
    <row r="20" customFormat="false" ht="15" hidden="false" customHeight="false" outlineLevel="0" collapsed="false">
      <c r="A20" s="5" t="s">
        <v>105</v>
      </c>
      <c r="B20" s="5" t="s">
        <v>100</v>
      </c>
      <c r="C20" s="5" t="s">
        <v>106</v>
      </c>
      <c r="D20" s="5" t="s">
        <v>107</v>
      </c>
      <c r="E20" s="6" t="s">
        <v>32</v>
      </c>
      <c r="F20" s="7" t="s">
        <v>33</v>
      </c>
      <c r="G20" s="7" t="s">
        <v>34</v>
      </c>
      <c r="H20" s="5" t="s">
        <v>35</v>
      </c>
      <c r="I20" s="5" t="s">
        <v>108</v>
      </c>
      <c r="J20" s="7" t="s">
        <v>37</v>
      </c>
    </row>
    <row r="21" customFormat="false" ht="23.85" hidden="false" customHeight="false" outlineLevel="0" collapsed="false">
      <c r="A21" s="5" t="s">
        <v>109</v>
      </c>
      <c r="B21" s="5" t="s">
        <v>100</v>
      </c>
      <c r="C21" s="5" t="s">
        <v>110</v>
      </c>
      <c r="D21" s="5" t="s">
        <v>111</v>
      </c>
      <c r="E21" s="6" t="s">
        <v>32</v>
      </c>
      <c r="F21" s="7" t="s">
        <v>33</v>
      </c>
      <c r="G21" s="7" t="s">
        <v>34</v>
      </c>
      <c r="H21" s="5" t="s">
        <v>35</v>
      </c>
      <c r="I21" s="5" t="s">
        <v>108</v>
      </c>
      <c r="J21" s="7" t="s">
        <v>73</v>
      </c>
    </row>
    <row r="22" customFormat="false" ht="15" hidden="false" customHeight="false" outlineLevel="0" collapsed="false">
      <c r="A22" s="5" t="s">
        <v>112</v>
      </c>
      <c r="B22" s="5" t="s">
        <v>113</v>
      </c>
      <c r="C22" s="5" t="s">
        <v>114</v>
      </c>
      <c r="D22" s="5" t="s">
        <v>115</v>
      </c>
      <c r="E22" s="6" t="s">
        <v>32</v>
      </c>
      <c r="F22" s="7" t="s">
        <v>33</v>
      </c>
      <c r="G22" s="7" t="s">
        <v>34</v>
      </c>
      <c r="H22" s="5" t="s">
        <v>116</v>
      </c>
      <c r="I22" s="5" t="s">
        <v>117</v>
      </c>
      <c r="J22" s="7" t="s">
        <v>73</v>
      </c>
    </row>
    <row r="23" customFormat="false" ht="23.85" hidden="false" customHeight="false" outlineLevel="0" collapsed="false">
      <c r="A23" s="5" t="s">
        <v>118</v>
      </c>
      <c r="B23" s="5" t="s">
        <v>113</v>
      </c>
      <c r="C23" s="5" t="s">
        <v>119</v>
      </c>
      <c r="D23" s="5" t="s">
        <v>120</v>
      </c>
      <c r="E23" s="6" t="s">
        <v>32</v>
      </c>
      <c r="F23" s="7" t="s">
        <v>33</v>
      </c>
      <c r="G23" s="7" t="s">
        <v>34</v>
      </c>
      <c r="H23" s="5" t="s">
        <v>116</v>
      </c>
      <c r="I23" s="5" t="s">
        <v>121</v>
      </c>
      <c r="J23" s="7" t="s">
        <v>73</v>
      </c>
    </row>
    <row r="24" customFormat="false" ht="23.85" hidden="false" customHeight="false" outlineLevel="0" collapsed="false">
      <c r="A24" s="5" t="s">
        <v>122</v>
      </c>
      <c r="B24" s="5" t="s">
        <v>113</v>
      </c>
      <c r="C24" s="5" t="s">
        <v>123</v>
      </c>
      <c r="D24" s="5" t="s">
        <v>124</v>
      </c>
      <c r="E24" s="6" t="s">
        <v>32</v>
      </c>
      <c r="F24" s="7" t="s">
        <v>33</v>
      </c>
      <c r="G24" s="7" t="s">
        <v>34</v>
      </c>
      <c r="H24" s="5" t="s">
        <v>116</v>
      </c>
      <c r="I24" s="5" t="s">
        <v>121</v>
      </c>
      <c r="J24" s="7" t="s">
        <v>73</v>
      </c>
    </row>
    <row r="25" customFormat="false" ht="15" hidden="false" customHeight="false" outlineLevel="0" collapsed="false">
      <c r="A25" s="5" t="s">
        <v>125</v>
      </c>
      <c r="B25" s="5" t="s">
        <v>113</v>
      </c>
      <c r="C25" s="5" t="s">
        <v>126</v>
      </c>
      <c r="D25" s="5" t="s">
        <v>127</v>
      </c>
      <c r="E25" s="6" t="s">
        <v>32</v>
      </c>
      <c r="F25" s="7" t="s">
        <v>33</v>
      </c>
      <c r="G25" s="7" t="s">
        <v>34</v>
      </c>
      <c r="H25" s="5" t="s">
        <v>116</v>
      </c>
      <c r="I25" s="5" t="s">
        <v>128</v>
      </c>
      <c r="J25" s="7" t="s">
        <v>42</v>
      </c>
    </row>
    <row r="26" customFormat="false" ht="23.85" hidden="false" customHeight="false" outlineLevel="0" collapsed="false">
      <c r="A26" s="5" t="s">
        <v>129</v>
      </c>
      <c r="B26" s="5" t="s">
        <v>130</v>
      </c>
      <c r="C26" s="5" t="s">
        <v>131</v>
      </c>
      <c r="D26" s="5" t="s">
        <v>132</v>
      </c>
      <c r="E26" s="8" t="s">
        <v>133</v>
      </c>
      <c r="F26" s="7" t="s">
        <v>33</v>
      </c>
      <c r="G26" s="7" t="s">
        <v>134</v>
      </c>
      <c r="H26" s="5" t="s">
        <v>135</v>
      </c>
      <c r="I26" s="5" t="s">
        <v>136</v>
      </c>
      <c r="J26" s="7" t="s">
        <v>73</v>
      </c>
    </row>
    <row r="27" customFormat="false" ht="23.85" hidden="false" customHeight="false" outlineLevel="0" collapsed="false">
      <c r="A27" s="5" t="s">
        <v>137</v>
      </c>
      <c r="B27" s="5" t="s">
        <v>130</v>
      </c>
      <c r="C27" s="5" t="s">
        <v>138</v>
      </c>
      <c r="D27" s="5" t="s">
        <v>139</v>
      </c>
      <c r="E27" s="8" t="s">
        <v>133</v>
      </c>
      <c r="F27" s="7" t="s">
        <v>140</v>
      </c>
      <c r="G27" s="7" t="s">
        <v>134</v>
      </c>
      <c r="H27" s="5" t="s">
        <v>141</v>
      </c>
      <c r="I27" s="5" t="s">
        <v>142</v>
      </c>
      <c r="J27" s="7" t="s">
        <v>73</v>
      </c>
    </row>
    <row r="28" customFormat="false" ht="15" hidden="false" customHeight="false" outlineLevel="0" collapsed="false">
      <c r="A28" s="5" t="s">
        <v>143</v>
      </c>
      <c r="B28" s="5" t="s">
        <v>130</v>
      </c>
      <c r="C28" s="5" t="s">
        <v>144</v>
      </c>
      <c r="D28" s="5" t="s">
        <v>145</v>
      </c>
      <c r="E28" s="8" t="s">
        <v>133</v>
      </c>
      <c r="F28" s="7" t="s">
        <v>140</v>
      </c>
      <c r="G28" s="7" t="s">
        <v>134</v>
      </c>
      <c r="H28" s="5" t="s">
        <v>141</v>
      </c>
      <c r="I28" s="5" t="s">
        <v>142</v>
      </c>
      <c r="J28" s="7" t="s">
        <v>37</v>
      </c>
    </row>
    <row r="29" customFormat="false" ht="23.85" hidden="false" customHeight="false" outlineLevel="0" collapsed="false">
      <c r="A29" s="5" t="s">
        <v>146</v>
      </c>
      <c r="B29" s="5" t="s">
        <v>130</v>
      </c>
      <c r="C29" s="5" t="s">
        <v>147</v>
      </c>
      <c r="D29" s="5" t="s">
        <v>148</v>
      </c>
      <c r="E29" s="8" t="s">
        <v>133</v>
      </c>
      <c r="F29" s="7" t="s">
        <v>33</v>
      </c>
      <c r="G29" s="7" t="s">
        <v>134</v>
      </c>
      <c r="H29" s="5" t="s">
        <v>149</v>
      </c>
      <c r="I29" s="5" t="s">
        <v>150</v>
      </c>
      <c r="J29" s="7" t="s">
        <v>37</v>
      </c>
    </row>
    <row r="30" customFormat="false" ht="15" hidden="false" customHeight="false" outlineLevel="0" collapsed="false">
      <c r="A30" s="5" t="s">
        <v>151</v>
      </c>
      <c r="B30" s="5" t="s">
        <v>152</v>
      </c>
      <c r="C30" s="5" t="s">
        <v>153</v>
      </c>
      <c r="D30" s="5" t="s">
        <v>154</v>
      </c>
      <c r="E30" s="8" t="s">
        <v>133</v>
      </c>
      <c r="F30" s="7" t="s">
        <v>33</v>
      </c>
      <c r="G30" s="7" t="s">
        <v>134</v>
      </c>
      <c r="H30" s="5" t="s">
        <v>141</v>
      </c>
      <c r="I30" s="5" t="s">
        <v>155</v>
      </c>
      <c r="J30" s="7" t="s">
        <v>37</v>
      </c>
    </row>
    <row r="31" customFormat="false" ht="15" hidden="false" customHeight="false" outlineLevel="0" collapsed="false">
      <c r="A31" s="5" t="s">
        <v>156</v>
      </c>
      <c r="B31" s="5" t="s">
        <v>152</v>
      </c>
      <c r="C31" s="5" t="s">
        <v>157</v>
      </c>
      <c r="D31" s="5" t="s">
        <v>158</v>
      </c>
      <c r="E31" s="8" t="s">
        <v>133</v>
      </c>
      <c r="F31" s="7" t="s">
        <v>33</v>
      </c>
      <c r="G31" s="7" t="s">
        <v>134</v>
      </c>
      <c r="H31" s="5" t="s">
        <v>141</v>
      </c>
      <c r="I31" s="5" t="s">
        <v>142</v>
      </c>
      <c r="J31" s="7" t="s">
        <v>42</v>
      </c>
    </row>
    <row r="32" customFormat="false" ht="23.85" hidden="false" customHeight="false" outlineLevel="0" collapsed="false">
      <c r="A32" s="5" t="s">
        <v>159</v>
      </c>
      <c r="B32" s="5" t="s">
        <v>152</v>
      </c>
      <c r="C32" s="5" t="s">
        <v>160</v>
      </c>
      <c r="D32" s="5" t="s">
        <v>161</v>
      </c>
      <c r="E32" s="8" t="s">
        <v>133</v>
      </c>
      <c r="F32" s="7" t="s">
        <v>33</v>
      </c>
      <c r="G32" s="7" t="s">
        <v>134</v>
      </c>
      <c r="H32" s="5" t="s">
        <v>141</v>
      </c>
      <c r="I32" s="5" t="s">
        <v>142</v>
      </c>
      <c r="J32" s="7" t="s">
        <v>37</v>
      </c>
    </row>
    <row r="33" customFormat="false" ht="23.85" hidden="false" customHeight="false" outlineLevel="0" collapsed="false">
      <c r="A33" s="5" t="s">
        <v>162</v>
      </c>
      <c r="B33" s="5" t="s">
        <v>152</v>
      </c>
      <c r="C33" s="5" t="s">
        <v>163</v>
      </c>
      <c r="D33" s="5" t="s">
        <v>164</v>
      </c>
      <c r="E33" s="8" t="s">
        <v>133</v>
      </c>
      <c r="F33" s="7" t="s">
        <v>140</v>
      </c>
      <c r="G33" s="7" t="s">
        <v>134</v>
      </c>
      <c r="H33" s="5" t="s">
        <v>165</v>
      </c>
      <c r="I33" s="5" t="s">
        <v>142</v>
      </c>
      <c r="J33" s="7" t="s">
        <v>37</v>
      </c>
    </row>
    <row r="34" customFormat="false" ht="23.85" hidden="false" customHeight="false" outlineLevel="0" collapsed="false">
      <c r="A34" s="5" t="s">
        <v>166</v>
      </c>
      <c r="B34" s="5" t="s">
        <v>152</v>
      </c>
      <c r="C34" s="5" t="s">
        <v>167</v>
      </c>
      <c r="D34" s="5" t="s">
        <v>168</v>
      </c>
      <c r="E34" s="8" t="s">
        <v>133</v>
      </c>
      <c r="F34" s="7" t="s">
        <v>140</v>
      </c>
      <c r="G34" s="7" t="s">
        <v>134</v>
      </c>
      <c r="H34" s="5" t="s">
        <v>169</v>
      </c>
      <c r="I34" s="5" t="s">
        <v>170</v>
      </c>
      <c r="J34" s="7" t="s">
        <v>37</v>
      </c>
    </row>
    <row r="35" customFormat="false" ht="23.85" hidden="false" customHeight="false" outlineLevel="0" collapsed="false">
      <c r="A35" s="5" t="s">
        <v>171</v>
      </c>
      <c r="B35" s="5" t="s">
        <v>152</v>
      </c>
      <c r="C35" s="5" t="s">
        <v>172</v>
      </c>
      <c r="D35" s="5" t="s">
        <v>173</v>
      </c>
      <c r="E35" s="8" t="s">
        <v>133</v>
      </c>
      <c r="F35" s="7" t="s">
        <v>140</v>
      </c>
      <c r="G35" s="7" t="s">
        <v>134</v>
      </c>
      <c r="H35" s="5" t="s">
        <v>174</v>
      </c>
      <c r="I35" s="5" t="s">
        <v>175</v>
      </c>
      <c r="J35" s="7" t="s">
        <v>73</v>
      </c>
    </row>
    <row r="36" customFormat="false" ht="23.85" hidden="false" customHeight="false" outlineLevel="0" collapsed="false">
      <c r="A36" s="5" t="s">
        <v>176</v>
      </c>
      <c r="B36" s="5" t="s">
        <v>177</v>
      </c>
      <c r="C36" s="5" t="s">
        <v>178</v>
      </c>
      <c r="D36" s="5" t="s">
        <v>179</v>
      </c>
      <c r="E36" s="8" t="s">
        <v>133</v>
      </c>
      <c r="F36" s="7" t="s">
        <v>140</v>
      </c>
      <c r="G36" s="7" t="s">
        <v>134</v>
      </c>
      <c r="H36" s="5" t="s">
        <v>180</v>
      </c>
      <c r="I36" s="5" t="s">
        <v>181</v>
      </c>
      <c r="J36" s="7" t="s">
        <v>42</v>
      </c>
    </row>
    <row r="37" customFormat="false" ht="23.85" hidden="false" customHeight="false" outlineLevel="0" collapsed="false">
      <c r="A37" s="5" t="s">
        <v>182</v>
      </c>
      <c r="B37" s="5" t="s">
        <v>183</v>
      </c>
      <c r="C37" s="5" t="s">
        <v>184</v>
      </c>
      <c r="D37" s="5" t="s">
        <v>185</v>
      </c>
      <c r="E37" s="8" t="s">
        <v>133</v>
      </c>
      <c r="F37" s="7" t="s">
        <v>33</v>
      </c>
      <c r="G37" s="7" t="s">
        <v>134</v>
      </c>
      <c r="H37" s="5" t="s">
        <v>141</v>
      </c>
      <c r="I37" s="5" t="s">
        <v>186</v>
      </c>
      <c r="J37" s="7" t="s">
        <v>73</v>
      </c>
    </row>
    <row r="38" customFormat="false" ht="23.85" hidden="false" customHeight="false" outlineLevel="0" collapsed="false">
      <c r="A38" s="5" t="s">
        <v>187</v>
      </c>
      <c r="B38" s="5" t="s">
        <v>183</v>
      </c>
      <c r="C38" s="5" t="s">
        <v>188</v>
      </c>
      <c r="D38" s="5" t="s">
        <v>189</v>
      </c>
      <c r="E38" s="8" t="s">
        <v>133</v>
      </c>
      <c r="F38" s="7" t="s">
        <v>140</v>
      </c>
      <c r="G38" s="7" t="s">
        <v>134</v>
      </c>
      <c r="H38" s="5" t="s">
        <v>141</v>
      </c>
      <c r="I38" s="5" t="s">
        <v>142</v>
      </c>
      <c r="J38" s="7" t="s">
        <v>37</v>
      </c>
    </row>
    <row r="39" customFormat="false" ht="23.85" hidden="false" customHeight="false" outlineLevel="0" collapsed="false">
      <c r="A39" s="5" t="s">
        <v>190</v>
      </c>
      <c r="B39" s="5" t="s">
        <v>191</v>
      </c>
      <c r="C39" s="5" t="s">
        <v>192</v>
      </c>
      <c r="D39" s="5" t="s">
        <v>193</v>
      </c>
      <c r="E39" s="8" t="s">
        <v>133</v>
      </c>
      <c r="F39" s="7" t="s">
        <v>33</v>
      </c>
      <c r="G39" s="7" t="s">
        <v>134</v>
      </c>
      <c r="H39" s="5" t="s">
        <v>141</v>
      </c>
      <c r="I39" s="5" t="s">
        <v>194</v>
      </c>
      <c r="J39" s="7" t="s">
        <v>73</v>
      </c>
    </row>
    <row r="40" customFormat="false" ht="23.85" hidden="false" customHeight="false" outlineLevel="0" collapsed="false">
      <c r="A40" s="5" t="s">
        <v>195</v>
      </c>
      <c r="B40" s="5" t="s">
        <v>191</v>
      </c>
      <c r="C40" s="5" t="s">
        <v>196</v>
      </c>
      <c r="D40" s="5" t="s">
        <v>197</v>
      </c>
      <c r="E40" s="8" t="s">
        <v>133</v>
      </c>
      <c r="F40" s="7" t="s">
        <v>33</v>
      </c>
      <c r="G40" s="7" t="s">
        <v>134</v>
      </c>
      <c r="H40" s="5" t="s">
        <v>198</v>
      </c>
      <c r="I40" s="5" t="s">
        <v>199</v>
      </c>
      <c r="J40" s="7" t="s">
        <v>63</v>
      </c>
    </row>
    <row r="41" customFormat="false" ht="23.85" hidden="false" customHeight="false" outlineLevel="0" collapsed="false">
      <c r="A41" s="5" t="s">
        <v>200</v>
      </c>
      <c r="B41" s="5" t="s">
        <v>82</v>
      </c>
      <c r="C41" s="5" t="s">
        <v>201</v>
      </c>
      <c r="D41" s="5" t="s">
        <v>202</v>
      </c>
      <c r="E41" s="8" t="s">
        <v>133</v>
      </c>
      <c r="F41" s="7" t="s">
        <v>33</v>
      </c>
      <c r="G41" s="7" t="s">
        <v>134</v>
      </c>
      <c r="H41" s="5" t="s">
        <v>203</v>
      </c>
      <c r="I41" s="5" t="s">
        <v>204</v>
      </c>
      <c r="J41" s="7" t="s">
        <v>73</v>
      </c>
    </row>
    <row r="42" customFormat="false" ht="23.85" hidden="false" customHeight="false" outlineLevel="0" collapsed="false">
      <c r="A42" s="5" t="s">
        <v>205</v>
      </c>
      <c r="B42" s="5" t="s">
        <v>100</v>
      </c>
      <c r="C42" s="5" t="s">
        <v>206</v>
      </c>
      <c r="D42" s="5" t="s">
        <v>207</v>
      </c>
      <c r="E42" s="8" t="s">
        <v>133</v>
      </c>
      <c r="F42" s="7" t="s">
        <v>33</v>
      </c>
      <c r="G42" s="7" t="s">
        <v>134</v>
      </c>
      <c r="H42" s="5" t="s">
        <v>208</v>
      </c>
      <c r="I42" s="5" t="s">
        <v>209</v>
      </c>
      <c r="J42" s="7" t="s">
        <v>42</v>
      </c>
    </row>
    <row r="43" customFormat="false" ht="23.85" hidden="false" customHeight="false" outlineLevel="0" collapsed="false">
      <c r="A43" s="5" t="s">
        <v>210</v>
      </c>
      <c r="B43" s="5" t="s">
        <v>60</v>
      </c>
      <c r="C43" s="5" t="s">
        <v>211</v>
      </c>
      <c r="D43" s="5" t="s">
        <v>212</v>
      </c>
      <c r="E43" s="8" t="s">
        <v>133</v>
      </c>
      <c r="F43" s="7" t="s">
        <v>140</v>
      </c>
      <c r="G43" s="7" t="s">
        <v>134</v>
      </c>
      <c r="H43" s="5" t="s">
        <v>213</v>
      </c>
      <c r="I43" s="5" t="s">
        <v>214</v>
      </c>
      <c r="J43" s="7" t="s">
        <v>37</v>
      </c>
    </row>
    <row r="44" customFormat="false" ht="23.85" hidden="false" customHeight="false" outlineLevel="0" collapsed="false">
      <c r="A44" s="5" t="s">
        <v>215</v>
      </c>
      <c r="B44" s="5" t="s">
        <v>29</v>
      </c>
      <c r="C44" s="5" t="s">
        <v>216</v>
      </c>
      <c r="D44" s="5" t="s">
        <v>217</v>
      </c>
      <c r="E44" s="8" t="s">
        <v>133</v>
      </c>
      <c r="F44" s="7" t="s">
        <v>140</v>
      </c>
      <c r="G44" s="7" t="s">
        <v>134</v>
      </c>
      <c r="H44" s="5" t="s">
        <v>218</v>
      </c>
      <c r="I44" s="5" t="s">
        <v>219</v>
      </c>
      <c r="J44" s="7" t="s">
        <v>73</v>
      </c>
    </row>
    <row r="45" customFormat="false" ht="23.85" hidden="false" customHeight="false" outlineLevel="0" collapsed="false">
      <c r="A45" s="5" t="s">
        <v>220</v>
      </c>
      <c r="B45" s="5" t="s">
        <v>60</v>
      </c>
      <c r="C45" s="5" t="s">
        <v>221</v>
      </c>
      <c r="D45" s="5" t="s">
        <v>222</v>
      </c>
      <c r="E45" s="8" t="s">
        <v>133</v>
      </c>
      <c r="F45" s="7" t="s">
        <v>223</v>
      </c>
      <c r="G45" s="7" t="s">
        <v>224</v>
      </c>
      <c r="H45" s="5" t="s">
        <v>225</v>
      </c>
      <c r="I45" s="5" t="s">
        <v>226</v>
      </c>
      <c r="J45" s="7" t="s">
        <v>73</v>
      </c>
    </row>
    <row r="46" customFormat="false" ht="23.85" hidden="false" customHeight="false" outlineLevel="0" collapsed="false">
      <c r="A46" s="5" t="s">
        <v>227</v>
      </c>
      <c r="B46" s="5" t="s">
        <v>100</v>
      </c>
      <c r="C46" s="5" t="s">
        <v>228</v>
      </c>
      <c r="D46" s="5" t="s">
        <v>229</v>
      </c>
      <c r="E46" s="8" t="s">
        <v>133</v>
      </c>
      <c r="F46" s="7" t="s">
        <v>33</v>
      </c>
      <c r="G46" s="7" t="s">
        <v>134</v>
      </c>
      <c r="H46" s="5" t="s">
        <v>230</v>
      </c>
      <c r="I46" s="5" t="s">
        <v>231</v>
      </c>
      <c r="J46" s="7" t="s">
        <v>37</v>
      </c>
    </row>
    <row r="47" customFormat="false" ht="23.85" hidden="false" customHeight="false" outlineLevel="0" collapsed="false">
      <c r="A47" s="5" t="s">
        <v>232</v>
      </c>
      <c r="B47" s="5" t="s">
        <v>100</v>
      </c>
      <c r="C47" s="5" t="s">
        <v>233</v>
      </c>
      <c r="D47" s="5" t="s">
        <v>234</v>
      </c>
      <c r="E47" s="8" t="s">
        <v>133</v>
      </c>
      <c r="F47" s="7" t="s">
        <v>33</v>
      </c>
      <c r="G47" s="7" t="s">
        <v>134</v>
      </c>
      <c r="H47" s="5" t="s">
        <v>235</v>
      </c>
      <c r="I47" s="5" t="s">
        <v>236</v>
      </c>
      <c r="J47" s="7" t="s">
        <v>73</v>
      </c>
    </row>
    <row r="48" customFormat="false" ht="15" hidden="false" customHeight="false" outlineLevel="0" collapsed="false">
      <c r="A48" s="5" t="s">
        <v>237</v>
      </c>
      <c r="B48" s="5" t="s">
        <v>100</v>
      </c>
      <c r="C48" s="5" t="s">
        <v>238</v>
      </c>
      <c r="D48" s="5" t="s">
        <v>239</v>
      </c>
      <c r="E48" s="8" t="s">
        <v>133</v>
      </c>
      <c r="F48" s="7" t="s">
        <v>33</v>
      </c>
      <c r="G48" s="7" t="s">
        <v>134</v>
      </c>
      <c r="H48" s="5" t="s">
        <v>235</v>
      </c>
      <c r="I48" s="5" t="s">
        <v>240</v>
      </c>
      <c r="J48" s="7" t="s">
        <v>37</v>
      </c>
    </row>
    <row r="49" customFormat="false" ht="23.85" hidden="false" customHeight="false" outlineLevel="0" collapsed="false">
      <c r="A49" s="5" t="s">
        <v>241</v>
      </c>
      <c r="B49" s="5" t="s">
        <v>100</v>
      </c>
      <c r="C49" s="5" t="s">
        <v>242</v>
      </c>
      <c r="D49" s="5" t="s">
        <v>243</v>
      </c>
      <c r="E49" s="8" t="s">
        <v>133</v>
      </c>
      <c r="F49" s="7" t="s">
        <v>33</v>
      </c>
      <c r="G49" s="7" t="s">
        <v>134</v>
      </c>
      <c r="H49" s="5" t="s">
        <v>244</v>
      </c>
      <c r="I49" s="5" t="s">
        <v>245</v>
      </c>
      <c r="J49" s="7" t="s">
        <v>73</v>
      </c>
    </row>
    <row r="50" customFormat="false" ht="23.85" hidden="false" customHeight="false" outlineLevel="0" collapsed="false">
      <c r="A50" s="5" t="s">
        <v>246</v>
      </c>
      <c r="B50" s="5" t="s">
        <v>100</v>
      </c>
      <c r="C50" s="5" t="s">
        <v>247</v>
      </c>
      <c r="D50" s="5" t="s">
        <v>248</v>
      </c>
      <c r="E50" s="8" t="s">
        <v>133</v>
      </c>
      <c r="F50" s="7" t="s">
        <v>140</v>
      </c>
      <c r="G50" s="7" t="s">
        <v>134</v>
      </c>
      <c r="H50" s="5" t="s">
        <v>249</v>
      </c>
      <c r="I50" s="5" t="s">
        <v>250</v>
      </c>
      <c r="J50" s="7" t="s">
        <v>37</v>
      </c>
    </row>
    <row r="51" customFormat="false" ht="23.85" hidden="false" customHeight="false" outlineLevel="0" collapsed="false">
      <c r="A51" s="5" t="s">
        <v>251</v>
      </c>
      <c r="B51" s="5" t="s">
        <v>252</v>
      </c>
      <c r="C51" s="5" t="s">
        <v>253</v>
      </c>
      <c r="D51" s="5" t="s">
        <v>254</v>
      </c>
      <c r="E51" s="8" t="s">
        <v>133</v>
      </c>
      <c r="F51" s="7" t="s">
        <v>33</v>
      </c>
      <c r="G51" s="7" t="s">
        <v>134</v>
      </c>
      <c r="H51" s="5" t="s">
        <v>255</v>
      </c>
      <c r="I51" s="5" t="s">
        <v>256</v>
      </c>
      <c r="J51" s="7" t="s">
        <v>37</v>
      </c>
    </row>
    <row r="52" customFormat="false" ht="23.85" hidden="false" customHeight="false" outlineLevel="0" collapsed="false">
      <c r="A52" s="5" t="s">
        <v>257</v>
      </c>
      <c r="B52" s="5" t="s">
        <v>252</v>
      </c>
      <c r="C52" s="5" t="s">
        <v>258</v>
      </c>
      <c r="D52" s="5" t="s">
        <v>259</v>
      </c>
      <c r="E52" s="8" t="s">
        <v>133</v>
      </c>
      <c r="F52" s="7" t="s">
        <v>33</v>
      </c>
      <c r="G52" s="7" t="s">
        <v>134</v>
      </c>
      <c r="H52" s="5" t="s">
        <v>260</v>
      </c>
      <c r="I52" s="5" t="s">
        <v>261</v>
      </c>
      <c r="J52" s="7" t="s">
        <v>37</v>
      </c>
    </row>
    <row r="53" customFormat="false" ht="23.85" hidden="false" customHeight="false" outlineLevel="0" collapsed="false">
      <c r="A53" s="5" t="s">
        <v>262</v>
      </c>
      <c r="B53" s="5" t="s">
        <v>96</v>
      </c>
      <c r="C53" s="5" t="s">
        <v>263</v>
      </c>
      <c r="D53" s="5" t="s">
        <v>264</v>
      </c>
      <c r="E53" s="8" t="s">
        <v>133</v>
      </c>
      <c r="F53" s="7" t="s">
        <v>140</v>
      </c>
      <c r="G53" s="7" t="s">
        <v>134</v>
      </c>
      <c r="H53" s="5" t="s">
        <v>265</v>
      </c>
      <c r="I53" s="5" t="s">
        <v>266</v>
      </c>
      <c r="J53" s="7" t="s">
        <v>73</v>
      </c>
    </row>
    <row r="54" customFormat="false" ht="15" hidden="false" customHeight="false" outlineLevel="0" collapsed="false">
      <c r="A54" s="5" t="s">
        <v>267</v>
      </c>
      <c r="B54" s="5" t="s">
        <v>268</v>
      </c>
      <c r="C54" s="5" t="s">
        <v>269</v>
      </c>
      <c r="D54" s="5" t="s">
        <v>270</v>
      </c>
      <c r="E54" s="8" t="s">
        <v>133</v>
      </c>
      <c r="F54" s="7" t="s">
        <v>140</v>
      </c>
      <c r="G54" s="7" t="s">
        <v>134</v>
      </c>
      <c r="H54" s="5" t="s">
        <v>213</v>
      </c>
      <c r="I54" s="5" t="s">
        <v>226</v>
      </c>
      <c r="J54" s="7" t="s">
        <v>73</v>
      </c>
    </row>
    <row r="55" customFormat="false" ht="23.85" hidden="false" customHeight="false" outlineLevel="0" collapsed="false">
      <c r="A55" s="5" t="s">
        <v>271</v>
      </c>
      <c r="B55" s="5" t="s">
        <v>191</v>
      </c>
      <c r="C55" s="5" t="s">
        <v>272</v>
      </c>
      <c r="D55" s="5" t="s">
        <v>273</v>
      </c>
      <c r="E55" s="8" t="s">
        <v>133</v>
      </c>
      <c r="F55" s="7" t="s">
        <v>223</v>
      </c>
      <c r="G55" s="7" t="s">
        <v>224</v>
      </c>
      <c r="H55" s="5" t="s">
        <v>274</v>
      </c>
      <c r="I55" s="5" t="s">
        <v>275</v>
      </c>
      <c r="J55" s="7" t="s">
        <v>63</v>
      </c>
    </row>
    <row r="56" customFormat="false" ht="23.85" hidden="false" customHeight="false" outlineLevel="0" collapsed="false">
      <c r="A56" s="5" t="s">
        <v>276</v>
      </c>
      <c r="B56" s="5" t="s">
        <v>113</v>
      </c>
      <c r="C56" s="5" t="s">
        <v>277</v>
      </c>
      <c r="D56" s="5" t="s">
        <v>278</v>
      </c>
      <c r="E56" s="8" t="s">
        <v>133</v>
      </c>
      <c r="F56" s="7" t="s">
        <v>33</v>
      </c>
      <c r="G56" s="7" t="s">
        <v>134</v>
      </c>
      <c r="H56" s="5" t="s">
        <v>279</v>
      </c>
      <c r="I56" s="5" t="s">
        <v>280</v>
      </c>
      <c r="J56" s="7" t="s">
        <v>63</v>
      </c>
    </row>
    <row r="57" customFormat="false" ht="15" hidden="false" customHeight="false" outlineLevel="0" collapsed="false">
      <c r="A57" s="5" t="s">
        <v>281</v>
      </c>
      <c r="B57" s="5" t="s">
        <v>113</v>
      </c>
      <c r="C57" s="5" t="s">
        <v>282</v>
      </c>
      <c r="D57" s="5" t="s">
        <v>283</v>
      </c>
      <c r="E57" s="8" t="s">
        <v>133</v>
      </c>
      <c r="F57" s="7" t="s">
        <v>140</v>
      </c>
      <c r="G57" s="7" t="s">
        <v>134</v>
      </c>
      <c r="H57" s="5" t="s">
        <v>284</v>
      </c>
      <c r="I57" s="5" t="s">
        <v>117</v>
      </c>
      <c r="J57" s="7" t="s">
        <v>73</v>
      </c>
    </row>
    <row r="58" customFormat="false" ht="15" hidden="false" customHeight="false" outlineLevel="0" collapsed="false">
      <c r="A58" s="5" t="s">
        <v>285</v>
      </c>
      <c r="B58" s="5" t="s">
        <v>113</v>
      </c>
      <c r="C58" s="5" t="s">
        <v>286</v>
      </c>
      <c r="D58" s="5" t="s">
        <v>287</v>
      </c>
      <c r="E58" s="8" t="s">
        <v>133</v>
      </c>
      <c r="F58" s="7" t="s">
        <v>140</v>
      </c>
      <c r="G58" s="7" t="s">
        <v>134</v>
      </c>
      <c r="H58" s="5" t="s">
        <v>288</v>
      </c>
      <c r="I58" s="5" t="s">
        <v>289</v>
      </c>
      <c r="J58" s="7" t="s">
        <v>73</v>
      </c>
    </row>
    <row r="59" customFormat="false" ht="15" hidden="false" customHeight="false" outlineLevel="0" collapsed="false">
      <c r="A59" s="5" t="s">
        <v>290</v>
      </c>
      <c r="B59" s="5" t="s">
        <v>113</v>
      </c>
      <c r="C59" s="5" t="s">
        <v>291</v>
      </c>
      <c r="D59" s="5" t="s">
        <v>292</v>
      </c>
      <c r="E59" s="8" t="s">
        <v>133</v>
      </c>
      <c r="F59" s="7" t="s">
        <v>140</v>
      </c>
      <c r="G59" s="7" t="s">
        <v>134</v>
      </c>
      <c r="H59" s="5" t="s">
        <v>293</v>
      </c>
      <c r="I59" s="5" t="s">
        <v>294</v>
      </c>
      <c r="J59" s="7" t="s">
        <v>73</v>
      </c>
    </row>
    <row r="60" customFormat="false" ht="15" hidden="false" customHeight="false" outlineLevel="0" collapsed="false">
      <c r="A60" s="5" t="s">
        <v>295</v>
      </c>
      <c r="B60" s="5" t="s">
        <v>113</v>
      </c>
      <c r="C60" s="5" t="s">
        <v>296</v>
      </c>
      <c r="D60" s="5" t="s">
        <v>297</v>
      </c>
      <c r="E60" s="8" t="s">
        <v>133</v>
      </c>
      <c r="F60" s="7" t="s">
        <v>140</v>
      </c>
      <c r="G60" s="7" t="s">
        <v>134</v>
      </c>
      <c r="H60" s="5" t="s">
        <v>298</v>
      </c>
      <c r="I60" s="5" t="s">
        <v>128</v>
      </c>
      <c r="J60" s="7" t="s">
        <v>73</v>
      </c>
    </row>
    <row r="61" customFormat="false" ht="23.85" hidden="false" customHeight="false" outlineLevel="0" collapsed="false">
      <c r="A61" s="5" t="s">
        <v>299</v>
      </c>
      <c r="B61" s="5" t="s">
        <v>113</v>
      </c>
      <c r="C61" s="5" t="s">
        <v>300</v>
      </c>
      <c r="D61" s="5" t="s">
        <v>301</v>
      </c>
      <c r="E61" s="8" t="s">
        <v>133</v>
      </c>
      <c r="F61" s="7" t="s">
        <v>140</v>
      </c>
      <c r="G61" s="7" t="s">
        <v>134</v>
      </c>
      <c r="H61" s="5" t="s">
        <v>302</v>
      </c>
      <c r="I61" s="5" t="s">
        <v>303</v>
      </c>
      <c r="J61" s="7" t="s">
        <v>42</v>
      </c>
    </row>
    <row r="62" customFormat="false" ht="23.85" hidden="false" customHeight="false" outlineLevel="0" collapsed="false">
      <c r="A62" s="5" t="s">
        <v>304</v>
      </c>
      <c r="B62" s="5" t="s">
        <v>75</v>
      </c>
      <c r="C62" s="5" t="s">
        <v>305</v>
      </c>
      <c r="D62" s="5" t="s">
        <v>306</v>
      </c>
      <c r="E62" s="8" t="s">
        <v>133</v>
      </c>
      <c r="F62" s="7" t="s">
        <v>140</v>
      </c>
      <c r="G62" s="7" t="s">
        <v>134</v>
      </c>
      <c r="H62" s="5" t="s">
        <v>307</v>
      </c>
      <c r="I62" s="5" t="s">
        <v>308</v>
      </c>
      <c r="J62" s="7" t="s">
        <v>37</v>
      </c>
    </row>
    <row r="63" customFormat="false" ht="23.85" hidden="false" customHeight="false" outlineLevel="0" collapsed="false">
      <c r="A63" s="5" t="s">
        <v>309</v>
      </c>
      <c r="B63" s="5" t="s">
        <v>113</v>
      </c>
      <c r="C63" s="5" t="s">
        <v>310</v>
      </c>
      <c r="D63" s="5" t="s">
        <v>311</v>
      </c>
      <c r="E63" s="8" t="s">
        <v>133</v>
      </c>
      <c r="F63" s="7" t="s">
        <v>140</v>
      </c>
      <c r="G63" s="7" t="s">
        <v>134</v>
      </c>
      <c r="H63" s="5" t="s">
        <v>312</v>
      </c>
      <c r="I63" s="5" t="s">
        <v>313</v>
      </c>
      <c r="J63" s="7" t="s">
        <v>37</v>
      </c>
    </row>
    <row r="64" customFormat="false" ht="23.85" hidden="false" customHeight="false" outlineLevel="0" collapsed="false">
      <c r="A64" s="5" t="s">
        <v>314</v>
      </c>
      <c r="B64" s="5" t="s">
        <v>60</v>
      </c>
      <c r="C64" s="5" t="s">
        <v>315</v>
      </c>
      <c r="D64" s="5" t="s">
        <v>316</v>
      </c>
      <c r="E64" s="9" t="s">
        <v>317</v>
      </c>
      <c r="F64" s="7" t="s">
        <v>223</v>
      </c>
      <c r="G64" s="7" t="s">
        <v>224</v>
      </c>
      <c r="H64" s="5" t="s">
        <v>318</v>
      </c>
      <c r="I64" s="5" t="s">
        <v>319</v>
      </c>
      <c r="J64" s="7" t="s">
        <v>63</v>
      </c>
    </row>
    <row r="65" customFormat="false" ht="23.85" hidden="false" customHeight="false" outlineLevel="0" collapsed="false">
      <c r="A65" s="5" t="s">
        <v>320</v>
      </c>
      <c r="B65" s="5" t="s">
        <v>152</v>
      </c>
      <c r="C65" s="5" t="s">
        <v>321</v>
      </c>
      <c r="D65" s="5" t="s">
        <v>322</v>
      </c>
      <c r="E65" s="9" t="s">
        <v>317</v>
      </c>
      <c r="F65" s="7" t="s">
        <v>223</v>
      </c>
      <c r="G65" s="7" t="s">
        <v>224</v>
      </c>
      <c r="H65" s="5" t="s">
        <v>318</v>
      </c>
      <c r="I65" s="5" t="s">
        <v>323</v>
      </c>
      <c r="J65" s="7" t="s">
        <v>73</v>
      </c>
    </row>
    <row r="66" customFormat="false" ht="23.85" hidden="false" customHeight="false" outlineLevel="0" collapsed="false">
      <c r="A66" s="5" t="s">
        <v>324</v>
      </c>
      <c r="B66" s="5" t="s">
        <v>183</v>
      </c>
      <c r="C66" s="5" t="s">
        <v>325</v>
      </c>
      <c r="D66" s="5" t="s">
        <v>326</v>
      </c>
      <c r="E66" s="9" t="s">
        <v>317</v>
      </c>
      <c r="F66" s="7" t="s">
        <v>223</v>
      </c>
      <c r="G66" s="7" t="s">
        <v>224</v>
      </c>
      <c r="H66" s="5" t="s">
        <v>318</v>
      </c>
      <c r="I66" s="5" t="s">
        <v>327</v>
      </c>
      <c r="J66" s="7" t="s">
        <v>63</v>
      </c>
    </row>
    <row r="67" customFormat="false" ht="15" hidden="false" customHeight="false" outlineLevel="0" collapsed="false">
      <c r="A67" s="5" t="s">
        <v>328</v>
      </c>
      <c r="B67" s="5" t="s">
        <v>29</v>
      </c>
      <c r="C67" s="5" t="s">
        <v>329</v>
      </c>
      <c r="D67" s="5" t="s">
        <v>330</v>
      </c>
      <c r="E67" s="9" t="s">
        <v>317</v>
      </c>
      <c r="F67" s="7" t="s">
        <v>223</v>
      </c>
      <c r="G67" s="7" t="s">
        <v>224</v>
      </c>
      <c r="H67" s="5" t="s">
        <v>318</v>
      </c>
      <c r="I67" s="5" t="s">
        <v>331</v>
      </c>
      <c r="J67" s="7" t="s">
        <v>37</v>
      </c>
    </row>
    <row r="68" customFormat="false" ht="15" hidden="false" customHeight="false" outlineLevel="0" collapsed="false">
      <c r="A68" s="5" t="s">
        <v>332</v>
      </c>
      <c r="B68" s="5" t="s">
        <v>268</v>
      </c>
      <c r="C68" s="5" t="s">
        <v>333</v>
      </c>
      <c r="D68" s="5" t="s">
        <v>334</v>
      </c>
      <c r="E68" s="9" t="s">
        <v>317</v>
      </c>
      <c r="F68" s="7" t="s">
        <v>223</v>
      </c>
      <c r="G68" s="7" t="s">
        <v>335</v>
      </c>
      <c r="H68" s="5" t="s">
        <v>336</v>
      </c>
      <c r="I68" s="5" t="s">
        <v>337</v>
      </c>
      <c r="J68" s="7" t="s">
        <v>63</v>
      </c>
    </row>
    <row r="69" customFormat="false" ht="23.85" hidden="false" customHeight="false" outlineLevel="0" collapsed="false">
      <c r="A69" s="5" t="s">
        <v>338</v>
      </c>
      <c r="B69" s="5" t="s">
        <v>191</v>
      </c>
      <c r="C69" s="5" t="s">
        <v>339</v>
      </c>
      <c r="D69" s="5" t="s">
        <v>340</v>
      </c>
      <c r="E69" s="9" t="s">
        <v>317</v>
      </c>
      <c r="F69" s="7" t="s">
        <v>223</v>
      </c>
      <c r="G69" s="7" t="s">
        <v>335</v>
      </c>
      <c r="H69" s="5" t="s">
        <v>318</v>
      </c>
      <c r="I69" s="5" t="s">
        <v>331</v>
      </c>
      <c r="J69" s="7" t="s">
        <v>73</v>
      </c>
    </row>
    <row r="70" customFormat="false" ht="23.85" hidden="false" customHeight="false" outlineLevel="0" collapsed="false">
      <c r="A70" s="5" t="s">
        <v>341</v>
      </c>
      <c r="B70" s="5" t="s">
        <v>100</v>
      </c>
      <c r="C70" s="5" t="s">
        <v>342</v>
      </c>
      <c r="D70" s="5" t="s">
        <v>343</v>
      </c>
      <c r="E70" s="9" t="s">
        <v>317</v>
      </c>
      <c r="F70" s="7" t="s">
        <v>223</v>
      </c>
      <c r="G70" s="7" t="s">
        <v>224</v>
      </c>
      <c r="H70" s="5" t="s">
        <v>344</v>
      </c>
      <c r="I70" s="5" t="s">
        <v>345</v>
      </c>
      <c r="J70" s="7" t="s">
        <v>63</v>
      </c>
    </row>
    <row r="71" customFormat="false" ht="15" hidden="false" customHeight="false" outlineLevel="0" collapsed="false">
      <c r="A71" s="5" t="s">
        <v>346</v>
      </c>
      <c r="B71" s="5" t="s">
        <v>29</v>
      </c>
      <c r="C71" s="5" t="s">
        <v>347</v>
      </c>
      <c r="D71" s="5" t="s">
        <v>348</v>
      </c>
      <c r="E71" s="9" t="s">
        <v>317</v>
      </c>
      <c r="F71" s="7" t="s">
        <v>223</v>
      </c>
      <c r="G71" s="7" t="s">
        <v>224</v>
      </c>
      <c r="H71" s="5" t="s">
        <v>344</v>
      </c>
      <c r="I71" s="5" t="s">
        <v>349</v>
      </c>
      <c r="J71" s="7" t="s">
        <v>37</v>
      </c>
    </row>
    <row r="72" customFormat="false" ht="23.85" hidden="false" customHeight="false" outlineLevel="0" collapsed="false">
      <c r="A72" s="5" t="s">
        <v>350</v>
      </c>
      <c r="B72" s="5" t="s">
        <v>96</v>
      </c>
      <c r="C72" s="5" t="s">
        <v>351</v>
      </c>
      <c r="D72" s="5" t="s">
        <v>352</v>
      </c>
      <c r="E72" s="9" t="s">
        <v>317</v>
      </c>
      <c r="F72" s="7" t="s">
        <v>223</v>
      </c>
      <c r="G72" s="7" t="s">
        <v>224</v>
      </c>
      <c r="H72" s="5" t="s">
        <v>344</v>
      </c>
      <c r="I72" s="5" t="s">
        <v>349</v>
      </c>
      <c r="J72" s="7" t="s">
        <v>73</v>
      </c>
    </row>
    <row r="73" customFormat="false" ht="23.85" hidden="false" customHeight="false" outlineLevel="0" collapsed="false">
      <c r="A73" s="5" t="s">
        <v>353</v>
      </c>
      <c r="B73" s="5" t="s">
        <v>152</v>
      </c>
      <c r="C73" s="5" t="s">
        <v>354</v>
      </c>
      <c r="D73" s="5" t="s">
        <v>355</v>
      </c>
      <c r="E73" s="9" t="s">
        <v>317</v>
      </c>
      <c r="F73" s="7" t="s">
        <v>223</v>
      </c>
      <c r="G73" s="7" t="s">
        <v>224</v>
      </c>
      <c r="H73" s="5" t="s">
        <v>356</v>
      </c>
      <c r="I73" s="5" t="s">
        <v>357</v>
      </c>
      <c r="J73" s="7" t="s">
        <v>73</v>
      </c>
    </row>
    <row r="74" customFormat="false" ht="23.85" hidden="false" customHeight="false" outlineLevel="0" collapsed="false">
      <c r="A74" s="5" t="s">
        <v>358</v>
      </c>
      <c r="B74" s="5" t="s">
        <v>177</v>
      </c>
      <c r="C74" s="5" t="s">
        <v>359</v>
      </c>
      <c r="D74" s="5" t="s">
        <v>360</v>
      </c>
      <c r="E74" s="9" t="s">
        <v>317</v>
      </c>
      <c r="F74" s="7" t="s">
        <v>223</v>
      </c>
      <c r="G74" s="7" t="s">
        <v>224</v>
      </c>
      <c r="H74" s="5" t="s">
        <v>356</v>
      </c>
      <c r="I74" s="5" t="s">
        <v>361</v>
      </c>
      <c r="J74" s="7" t="s">
        <v>73</v>
      </c>
    </row>
    <row r="75" customFormat="false" ht="23.85" hidden="false" customHeight="false" outlineLevel="0" collapsed="false">
      <c r="A75" s="5" t="s">
        <v>362</v>
      </c>
      <c r="B75" s="5" t="s">
        <v>152</v>
      </c>
      <c r="C75" s="5" t="s">
        <v>363</v>
      </c>
      <c r="D75" s="5" t="s">
        <v>364</v>
      </c>
      <c r="E75" s="9" t="s">
        <v>317</v>
      </c>
      <c r="F75" s="7" t="s">
        <v>223</v>
      </c>
      <c r="G75" s="7" t="s">
        <v>224</v>
      </c>
      <c r="H75" s="5" t="s">
        <v>356</v>
      </c>
      <c r="I75" s="5" t="s">
        <v>361</v>
      </c>
      <c r="J75" s="7" t="s">
        <v>37</v>
      </c>
    </row>
    <row r="76" customFormat="false" ht="15" hidden="false" customHeight="false" outlineLevel="0" collapsed="false">
      <c r="A76" s="5" t="s">
        <v>365</v>
      </c>
      <c r="B76" s="5" t="s">
        <v>100</v>
      </c>
      <c r="C76" s="5" t="s">
        <v>366</v>
      </c>
      <c r="D76" s="5" t="s">
        <v>367</v>
      </c>
      <c r="E76" s="9" t="s">
        <v>317</v>
      </c>
      <c r="F76" s="7" t="s">
        <v>223</v>
      </c>
      <c r="G76" s="7" t="s">
        <v>335</v>
      </c>
      <c r="H76" s="5" t="s">
        <v>356</v>
      </c>
      <c r="I76" s="5" t="s">
        <v>368</v>
      </c>
      <c r="J76" s="7" t="s">
        <v>63</v>
      </c>
    </row>
    <row r="77" customFormat="false" ht="15" hidden="false" customHeight="false" outlineLevel="0" collapsed="false">
      <c r="A77" s="5" t="s">
        <v>369</v>
      </c>
      <c r="B77" s="5" t="s">
        <v>100</v>
      </c>
      <c r="C77" s="5" t="s">
        <v>370</v>
      </c>
      <c r="D77" s="5" t="s">
        <v>371</v>
      </c>
      <c r="E77" s="9" t="s">
        <v>317</v>
      </c>
      <c r="F77" s="7" t="s">
        <v>223</v>
      </c>
      <c r="G77" s="7" t="s">
        <v>335</v>
      </c>
      <c r="H77" s="5" t="s">
        <v>356</v>
      </c>
      <c r="I77" s="5" t="s">
        <v>372</v>
      </c>
      <c r="J77" s="7" t="s">
        <v>63</v>
      </c>
    </row>
    <row r="78" customFormat="false" ht="23.85" hidden="false" customHeight="false" outlineLevel="0" collapsed="false">
      <c r="A78" s="5" t="s">
        <v>373</v>
      </c>
      <c r="B78" s="5" t="s">
        <v>183</v>
      </c>
      <c r="C78" s="5" t="s">
        <v>374</v>
      </c>
      <c r="D78" s="5" t="s">
        <v>375</v>
      </c>
      <c r="E78" s="9" t="s">
        <v>317</v>
      </c>
      <c r="F78" s="7" t="s">
        <v>223</v>
      </c>
      <c r="G78" s="7" t="s">
        <v>224</v>
      </c>
      <c r="H78" s="5" t="s">
        <v>376</v>
      </c>
      <c r="I78" s="5" t="s">
        <v>377</v>
      </c>
      <c r="J78" s="7" t="s">
        <v>63</v>
      </c>
    </row>
    <row r="79" customFormat="false" ht="15" hidden="false" customHeight="false" outlineLevel="0" collapsed="false">
      <c r="A79" s="5" t="s">
        <v>378</v>
      </c>
      <c r="B79" s="5" t="s">
        <v>177</v>
      </c>
      <c r="C79" s="5" t="s">
        <v>379</v>
      </c>
      <c r="D79" s="5" t="s">
        <v>380</v>
      </c>
      <c r="E79" s="9" t="s">
        <v>317</v>
      </c>
      <c r="F79" s="7" t="s">
        <v>223</v>
      </c>
      <c r="G79" s="7" t="s">
        <v>224</v>
      </c>
      <c r="H79" s="5" t="s">
        <v>376</v>
      </c>
      <c r="I79" s="5" t="s">
        <v>381</v>
      </c>
      <c r="J79" s="7" t="s">
        <v>37</v>
      </c>
    </row>
    <row r="80" customFormat="false" ht="23.85" hidden="false" customHeight="false" outlineLevel="0" collapsed="false">
      <c r="A80" s="5" t="s">
        <v>382</v>
      </c>
      <c r="B80" s="5" t="s">
        <v>130</v>
      </c>
      <c r="C80" s="5" t="s">
        <v>383</v>
      </c>
      <c r="D80" s="5" t="s">
        <v>384</v>
      </c>
      <c r="E80" s="9" t="s">
        <v>317</v>
      </c>
      <c r="F80" s="7" t="s">
        <v>223</v>
      </c>
      <c r="G80" s="7" t="s">
        <v>335</v>
      </c>
      <c r="H80" s="5" t="s">
        <v>385</v>
      </c>
      <c r="I80" s="5" t="s">
        <v>386</v>
      </c>
      <c r="J80" s="7" t="s">
        <v>63</v>
      </c>
    </row>
    <row r="81" customFormat="false" ht="23.85" hidden="false" customHeight="false" outlineLevel="0" collapsed="false">
      <c r="A81" s="5" t="s">
        <v>387</v>
      </c>
      <c r="B81" s="5" t="s">
        <v>268</v>
      </c>
      <c r="C81" s="5" t="s">
        <v>388</v>
      </c>
      <c r="D81" s="5" t="s">
        <v>389</v>
      </c>
      <c r="E81" s="9" t="s">
        <v>317</v>
      </c>
      <c r="F81" s="7" t="s">
        <v>223</v>
      </c>
      <c r="G81" s="7" t="s">
        <v>335</v>
      </c>
      <c r="H81" s="5" t="s">
        <v>390</v>
      </c>
      <c r="I81" s="5" t="s">
        <v>391</v>
      </c>
      <c r="J81" s="7" t="s">
        <v>73</v>
      </c>
    </row>
    <row r="82" customFormat="false" ht="23.85" hidden="false" customHeight="false" outlineLevel="0" collapsed="false">
      <c r="A82" s="5" t="s">
        <v>392</v>
      </c>
      <c r="B82" s="5" t="s">
        <v>130</v>
      </c>
      <c r="C82" s="5" t="s">
        <v>393</v>
      </c>
      <c r="D82" s="5" t="s">
        <v>394</v>
      </c>
      <c r="E82" s="9" t="s">
        <v>317</v>
      </c>
      <c r="F82" s="7" t="s">
        <v>223</v>
      </c>
      <c r="G82" s="7" t="s">
        <v>335</v>
      </c>
      <c r="H82" s="5" t="s">
        <v>318</v>
      </c>
      <c r="I82" s="5" t="s">
        <v>395</v>
      </c>
      <c r="J82" s="7" t="s">
        <v>63</v>
      </c>
    </row>
    <row r="83" customFormat="false" ht="15" hidden="false" customHeight="false" outlineLevel="0" collapsed="false">
      <c r="A83" s="5" t="s">
        <v>396</v>
      </c>
      <c r="B83" s="5" t="s">
        <v>113</v>
      </c>
      <c r="C83" s="5" t="s">
        <v>397</v>
      </c>
      <c r="D83" s="5" t="s">
        <v>398</v>
      </c>
      <c r="E83" s="9" t="s">
        <v>317</v>
      </c>
      <c r="F83" s="7" t="s">
        <v>223</v>
      </c>
      <c r="G83" s="7" t="s">
        <v>224</v>
      </c>
      <c r="H83" s="5" t="s">
        <v>399</v>
      </c>
      <c r="I83" s="5" t="s">
        <v>400</v>
      </c>
      <c r="J83" s="7" t="s">
        <v>37</v>
      </c>
    </row>
    <row r="84" customFormat="false" ht="23.85" hidden="false" customHeight="false" outlineLevel="0" collapsed="false">
      <c r="A84" s="5" t="s">
        <v>401</v>
      </c>
      <c r="B84" s="5" t="s">
        <v>402</v>
      </c>
      <c r="C84" s="5" t="s">
        <v>403</v>
      </c>
      <c r="D84" s="5" t="s">
        <v>404</v>
      </c>
      <c r="E84" s="10" t="s">
        <v>405</v>
      </c>
      <c r="F84" s="7" t="s">
        <v>223</v>
      </c>
      <c r="G84" s="7" t="s">
        <v>335</v>
      </c>
      <c r="H84" s="5" t="s">
        <v>406</v>
      </c>
      <c r="I84" s="5" t="s">
        <v>407</v>
      </c>
      <c r="J84" s="7" t="s">
        <v>73</v>
      </c>
    </row>
    <row r="85" customFormat="false" ht="23.85" hidden="false" customHeight="false" outlineLevel="0" collapsed="false">
      <c r="A85" s="5" t="s">
        <v>408</v>
      </c>
      <c r="B85" s="5" t="s">
        <v>402</v>
      </c>
      <c r="C85" s="5" t="s">
        <v>409</v>
      </c>
      <c r="D85" s="5" t="s">
        <v>410</v>
      </c>
      <c r="E85" s="10" t="s">
        <v>405</v>
      </c>
      <c r="F85" s="7" t="s">
        <v>223</v>
      </c>
      <c r="G85" s="7" t="s">
        <v>335</v>
      </c>
      <c r="H85" s="5" t="s">
        <v>411</v>
      </c>
      <c r="I85" s="5" t="s">
        <v>412</v>
      </c>
      <c r="J85" s="7" t="s">
        <v>73</v>
      </c>
    </row>
    <row r="86" customFormat="false" ht="23.85" hidden="false" customHeight="false" outlineLevel="0" collapsed="false">
      <c r="A86" s="5" t="s">
        <v>413</v>
      </c>
      <c r="B86" s="5" t="s">
        <v>402</v>
      </c>
      <c r="C86" s="5" t="s">
        <v>414</v>
      </c>
      <c r="D86" s="5" t="s">
        <v>415</v>
      </c>
      <c r="E86" s="10" t="s">
        <v>405</v>
      </c>
      <c r="F86" s="7" t="s">
        <v>223</v>
      </c>
      <c r="G86" s="7" t="s">
        <v>335</v>
      </c>
      <c r="H86" s="5" t="s">
        <v>416</v>
      </c>
      <c r="I86" s="5" t="s">
        <v>417</v>
      </c>
      <c r="J86" s="7" t="s">
        <v>73</v>
      </c>
    </row>
    <row r="87" customFormat="false" ht="23.85" hidden="false" customHeight="false" outlineLevel="0" collapsed="false">
      <c r="A87" s="5" t="s">
        <v>418</v>
      </c>
      <c r="B87" s="5" t="s">
        <v>402</v>
      </c>
      <c r="C87" s="5" t="s">
        <v>419</v>
      </c>
      <c r="D87" s="5" t="s">
        <v>420</v>
      </c>
      <c r="E87" s="10" t="s">
        <v>405</v>
      </c>
      <c r="F87" s="7" t="s">
        <v>223</v>
      </c>
      <c r="G87" s="7" t="s">
        <v>335</v>
      </c>
      <c r="H87" s="5" t="s">
        <v>421</v>
      </c>
      <c r="I87" s="5" t="s">
        <v>422</v>
      </c>
      <c r="J87" s="7" t="s">
        <v>37</v>
      </c>
    </row>
    <row r="88" customFormat="false" ht="23.85" hidden="false" customHeight="false" outlineLevel="0" collapsed="false">
      <c r="A88" s="5" t="s">
        <v>423</v>
      </c>
      <c r="B88" s="5" t="s">
        <v>402</v>
      </c>
      <c r="C88" s="5" t="s">
        <v>424</v>
      </c>
      <c r="D88" s="5" t="s">
        <v>425</v>
      </c>
      <c r="E88" s="10" t="s">
        <v>405</v>
      </c>
      <c r="F88" s="7" t="s">
        <v>223</v>
      </c>
      <c r="G88" s="7" t="s">
        <v>335</v>
      </c>
      <c r="H88" s="5" t="s">
        <v>426</v>
      </c>
      <c r="I88" s="5" t="s">
        <v>427</v>
      </c>
      <c r="J88" s="7" t="s">
        <v>63</v>
      </c>
    </row>
    <row r="89" customFormat="false" ht="23.85" hidden="false" customHeight="false" outlineLevel="0" collapsed="false">
      <c r="A89" s="5" t="s">
        <v>428</v>
      </c>
      <c r="B89" s="5" t="s">
        <v>402</v>
      </c>
      <c r="C89" s="5" t="s">
        <v>429</v>
      </c>
      <c r="D89" s="5" t="s">
        <v>430</v>
      </c>
      <c r="E89" s="10" t="s">
        <v>405</v>
      </c>
      <c r="F89" s="7" t="s">
        <v>223</v>
      </c>
      <c r="G89" s="7" t="s">
        <v>335</v>
      </c>
      <c r="H89" s="5" t="s">
        <v>431</v>
      </c>
      <c r="I89" s="5" t="s">
        <v>432</v>
      </c>
      <c r="J89" s="7" t="s">
        <v>73</v>
      </c>
    </row>
    <row r="90" customFormat="false" ht="23.85" hidden="false" customHeight="false" outlineLevel="0" collapsed="false">
      <c r="A90" s="5" t="s">
        <v>433</v>
      </c>
      <c r="B90" s="5" t="s">
        <v>402</v>
      </c>
      <c r="C90" s="5" t="s">
        <v>434</v>
      </c>
      <c r="D90" s="5" t="s">
        <v>435</v>
      </c>
      <c r="E90" s="10" t="s">
        <v>405</v>
      </c>
      <c r="F90" s="7" t="s">
        <v>223</v>
      </c>
      <c r="G90" s="7" t="s">
        <v>335</v>
      </c>
      <c r="H90" s="5" t="s">
        <v>436</v>
      </c>
      <c r="I90" s="5" t="s">
        <v>437</v>
      </c>
      <c r="J90" s="7" t="s">
        <v>63</v>
      </c>
    </row>
    <row r="91" customFormat="false" ht="23.85" hidden="false" customHeight="false" outlineLevel="0" collapsed="false">
      <c r="A91" s="5" t="s">
        <v>438</v>
      </c>
      <c r="B91" s="5" t="s">
        <v>402</v>
      </c>
      <c r="C91" s="5" t="s">
        <v>439</v>
      </c>
      <c r="D91" s="5" t="s">
        <v>440</v>
      </c>
      <c r="E91" s="10" t="s">
        <v>405</v>
      </c>
      <c r="F91" s="7" t="s">
        <v>223</v>
      </c>
      <c r="G91" s="7" t="s">
        <v>335</v>
      </c>
      <c r="H91" s="5" t="s">
        <v>441</v>
      </c>
      <c r="I91" s="5" t="s">
        <v>442</v>
      </c>
      <c r="J91" s="7" t="s">
        <v>73</v>
      </c>
    </row>
    <row r="92" customFormat="false" ht="23.85" hidden="false" customHeight="false" outlineLevel="0" collapsed="false">
      <c r="A92" s="5" t="s">
        <v>443</v>
      </c>
      <c r="B92" s="5" t="s">
        <v>444</v>
      </c>
      <c r="C92" s="5" t="s">
        <v>445</v>
      </c>
      <c r="D92" s="5" t="s">
        <v>446</v>
      </c>
      <c r="E92" s="8" t="s">
        <v>133</v>
      </c>
      <c r="F92" s="7" t="s">
        <v>33</v>
      </c>
      <c r="G92" s="7" t="s">
        <v>34</v>
      </c>
      <c r="H92" s="5" t="s">
        <v>447</v>
      </c>
      <c r="I92" s="5" t="s">
        <v>448</v>
      </c>
      <c r="J92" s="7" t="s">
        <v>37</v>
      </c>
    </row>
    <row r="93" customFormat="false" ht="23.85" hidden="false" customHeight="false" outlineLevel="0" collapsed="false">
      <c r="A93" s="5" t="s">
        <v>449</v>
      </c>
      <c r="B93" s="5" t="s">
        <v>444</v>
      </c>
      <c r="C93" s="5" t="s">
        <v>450</v>
      </c>
      <c r="D93" s="5" t="s">
        <v>451</v>
      </c>
      <c r="E93" s="8" t="s">
        <v>133</v>
      </c>
      <c r="F93" s="7" t="s">
        <v>33</v>
      </c>
      <c r="G93" s="7" t="s">
        <v>34</v>
      </c>
      <c r="H93" s="5" t="s">
        <v>452</v>
      </c>
      <c r="I93" s="5" t="s">
        <v>453</v>
      </c>
      <c r="J93" s="7" t="s">
        <v>42</v>
      </c>
    </row>
    <row r="94" customFormat="false" ht="23.85" hidden="false" customHeight="false" outlineLevel="0" collapsed="false">
      <c r="A94" s="5" t="s">
        <v>454</v>
      </c>
      <c r="B94" s="5" t="s">
        <v>444</v>
      </c>
      <c r="C94" s="5" t="s">
        <v>455</v>
      </c>
      <c r="D94" s="5" t="s">
        <v>456</v>
      </c>
      <c r="E94" s="8" t="s">
        <v>133</v>
      </c>
      <c r="F94" s="7" t="s">
        <v>33</v>
      </c>
      <c r="G94" s="7" t="s">
        <v>34</v>
      </c>
      <c r="H94" s="5" t="s">
        <v>457</v>
      </c>
      <c r="I94" s="5" t="s">
        <v>458</v>
      </c>
      <c r="J94" s="7" t="s">
        <v>37</v>
      </c>
    </row>
    <row r="95" customFormat="false" ht="23.85" hidden="false" customHeight="false" outlineLevel="0" collapsed="false">
      <c r="A95" s="5" t="s">
        <v>459</v>
      </c>
      <c r="B95" s="5" t="s">
        <v>444</v>
      </c>
      <c r="C95" s="5" t="s">
        <v>460</v>
      </c>
      <c r="D95" s="5" t="s">
        <v>461</v>
      </c>
      <c r="E95" s="8" t="s">
        <v>133</v>
      </c>
      <c r="F95" s="7" t="s">
        <v>33</v>
      </c>
      <c r="G95" s="7" t="s">
        <v>34</v>
      </c>
      <c r="H95" s="5" t="s">
        <v>462</v>
      </c>
      <c r="I95" s="5" t="s">
        <v>463</v>
      </c>
      <c r="J95" s="7" t="s">
        <v>42</v>
      </c>
    </row>
    <row r="96" customFormat="false" ht="23.85" hidden="false" customHeight="false" outlineLevel="0" collapsed="false">
      <c r="A96" s="5" t="s">
        <v>464</v>
      </c>
      <c r="B96" s="5" t="s">
        <v>444</v>
      </c>
      <c r="C96" s="5" t="s">
        <v>465</v>
      </c>
      <c r="D96" s="5" t="s">
        <v>466</v>
      </c>
      <c r="E96" s="8" t="s">
        <v>133</v>
      </c>
      <c r="F96" s="7" t="s">
        <v>140</v>
      </c>
      <c r="G96" s="7" t="s">
        <v>134</v>
      </c>
      <c r="H96" s="5" t="s">
        <v>307</v>
      </c>
      <c r="I96" s="5" t="s">
        <v>467</v>
      </c>
      <c r="J96" s="7" t="s">
        <v>37</v>
      </c>
    </row>
    <row r="97" customFormat="false" ht="23.85" hidden="false" customHeight="false" outlineLevel="0" collapsed="false">
      <c r="A97" s="5" t="s">
        <v>468</v>
      </c>
      <c r="B97" s="5" t="s">
        <v>444</v>
      </c>
      <c r="C97" s="5" t="s">
        <v>469</v>
      </c>
      <c r="D97" s="5" t="s">
        <v>470</v>
      </c>
      <c r="E97" s="8" t="s">
        <v>133</v>
      </c>
      <c r="F97" s="7" t="s">
        <v>140</v>
      </c>
      <c r="G97" s="7" t="s">
        <v>134</v>
      </c>
      <c r="H97" s="5" t="s">
        <v>307</v>
      </c>
      <c r="I97" s="5" t="s">
        <v>471</v>
      </c>
      <c r="J97" s="7" t="s">
        <v>42</v>
      </c>
    </row>
    <row r="98" customFormat="false" ht="15" hidden="false" customHeight="false" outlineLevel="0" collapsed="false">
      <c r="A98" s="5" t="s">
        <v>472</v>
      </c>
      <c r="B98" s="5" t="s">
        <v>444</v>
      </c>
      <c r="C98" s="5" t="s">
        <v>473</v>
      </c>
      <c r="D98" s="5" t="s">
        <v>474</v>
      </c>
      <c r="E98" s="9" t="s">
        <v>317</v>
      </c>
      <c r="F98" s="7" t="s">
        <v>223</v>
      </c>
      <c r="G98" s="7" t="s">
        <v>224</v>
      </c>
      <c r="H98" s="5" t="s">
        <v>462</v>
      </c>
      <c r="I98" s="5" t="s">
        <v>475</v>
      </c>
      <c r="J98" s="7" t="s">
        <v>42</v>
      </c>
    </row>
    <row r="99" customFormat="false" ht="23.85" hidden="false" customHeight="false" outlineLevel="0" collapsed="false">
      <c r="A99" s="5" t="s">
        <v>476</v>
      </c>
      <c r="B99" s="5" t="s">
        <v>444</v>
      </c>
      <c r="C99" s="5" t="s">
        <v>477</v>
      </c>
      <c r="D99" s="5" t="s">
        <v>478</v>
      </c>
      <c r="E99" s="8" t="s">
        <v>133</v>
      </c>
      <c r="F99" s="7" t="s">
        <v>140</v>
      </c>
      <c r="G99" s="7" t="s">
        <v>34</v>
      </c>
      <c r="H99" s="5" t="s">
        <v>479</v>
      </c>
      <c r="I99" s="5" t="s">
        <v>480</v>
      </c>
      <c r="J99" s="7" t="s">
        <v>37</v>
      </c>
    </row>
  </sheetData>
  <autoFilter ref="A1:J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11" t="s">
        <v>481</v>
      </c>
      <c r="B1" s="12"/>
      <c r="C1" s="12"/>
      <c r="D1" s="12"/>
      <c r="E1" s="12"/>
    </row>
    <row r="2" customFormat="false" ht="15" hidden="false" customHeight="false" outlineLevel="0" collapsed="false">
      <c r="A2" s="12"/>
      <c r="B2" s="12"/>
      <c r="C2" s="12"/>
      <c r="D2" s="12"/>
      <c r="E2" s="12"/>
    </row>
    <row r="3" customFormat="false" ht="15" hidden="false" customHeight="false" outlineLevel="0" collapsed="false">
      <c r="A3" s="13" t="s">
        <v>482</v>
      </c>
      <c r="B3" s="13" t="s">
        <v>483</v>
      </c>
      <c r="C3" s="12"/>
      <c r="D3" s="13" t="s">
        <v>484</v>
      </c>
      <c r="E3" s="13" t="s">
        <v>483</v>
      </c>
    </row>
    <row r="4" customFormat="false" ht="15" hidden="false" customHeight="false" outlineLevel="0" collapsed="false">
      <c r="A4" s="12" t="s">
        <v>485</v>
      </c>
      <c r="B4" s="12" t="n">
        <f aca="false">COUNTIF(Backlog!E:E,"P0")</f>
        <v>24</v>
      </c>
      <c r="C4" s="12"/>
      <c r="D4" s="12" t="s">
        <v>34</v>
      </c>
      <c r="E4" s="12" t="n">
        <f aca="false">COUNTIF(Backlog!G:G,"Lot 1")</f>
        <v>29</v>
      </c>
    </row>
    <row r="5" customFormat="false" ht="15" hidden="false" customHeight="false" outlineLevel="0" collapsed="false">
      <c r="A5" s="12" t="s">
        <v>6</v>
      </c>
      <c r="B5" s="12" t="n">
        <f aca="false">COUNTIF(Backlog!E:E,"P1")</f>
        <v>45</v>
      </c>
      <c r="C5" s="12"/>
      <c r="D5" s="12" t="s">
        <v>134</v>
      </c>
      <c r="E5" s="12" t="n">
        <f aca="false">COUNTIF(Backlog!G:G,"Lot 2")</f>
        <v>38</v>
      </c>
    </row>
    <row r="6" customFormat="false" ht="15" hidden="false" customHeight="false" outlineLevel="0" collapsed="false">
      <c r="A6" s="12" t="s">
        <v>8</v>
      </c>
      <c r="B6" s="12" t="n">
        <f aca="false">COUNTIF(Backlog!E:E,"P2")</f>
        <v>21</v>
      </c>
      <c r="C6" s="12"/>
      <c r="D6" s="12" t="s">
        <v>224</v>
      </c>
      <c r="E6" s="12" t="n">
        <f aca="false">COUNTIF(Backlog!G:G,"Lot 3")</f>
        <v>16</v>
      </c>
    </row>
    <row r="7" customFormat="false" ht="15" hidden="false" customHeight="false" outlineLevel="0" collapsed="false">
      <c r="A7" s="12" t="s">
        <v>10</v>
      </c>
      <c r="B7" s="12" t="n">
        <f aca="false">COUNTIF(Backlog!E:E,"P3")</f>
        <v>8</v>
      </c>
      <c r="C7" s="12"/>
      <c r="D7" s="12" t="s">
        <v>335</v>
      </c>
      <c r="E7" s="12" t="n">
        <f aca="false">COUNTIF(Backlog!G:G,"Lot 4")</f>
        <v>15</v>
      </c>
    </row>
    <row r="8" customFormat="false" ht="15" hidden="false" customHeight="false" outlineLevel="0" collapsed="false">
      <c r="A8" s="13" t="s">
        <v>486</v>
      </c>
      <c r="B8" s="13" t="n">
        <f aca="false">SUM(B4:B7)</f>
        <v>98</v>
      </c>
      <c r="C8" s="12"/>
      <c r="D8" s="13" t="s">
        <v>486</v>
      </c>
      <c r="E8" s="13" t="n">
        <f aca="false">SUM(E4:E7)</f>
        <v>98</v>
      </c>
    </row>
    <row r="9" customFormat="false" ht="15" hidden="false" customHeight="false" outlineLevel="0" collapsed="false">
      <c r="A9" s="12"/>
      <c r="B9" s="12"/>
      <c r="C9" s="12"/>
      <c r="D9" s="12"/>
      <c r="E9" s="12"/>
    </row>
    <row r="10" customFormat="false" ht="15" hidden="false" customHeight="false" outlineLevel="0" collapsed="false">
      <c r="A10" s="14" t="s">
        <v>487</v>
      </c>
      <c r="B10" s="12"/>
      <c r="C10" s="12"/>
      <c r="D10" s="12"/>
      <c r="E10" s="12"/>
    </row>
    <row r="11" customFormat="false" ht="15" hidden="false" customHeight="false" outlineLevel="0" collapsed="false">
      <c r="A11" s="13" t="s">
        <v>21</v>
      </c>
      <c r="B11" s="13" t="s">
        <v>488</v>
      </c>
      <c r="C11" s="13" t="s">
        <v>489</v>
      </c>
      <c r="D11" s="12"/>
      <c r="E11" s="12"/>
    </row>
    <row r="12" customFormat="false" ht="15" hidden="false" customHeight="false" outlineLevel="0" collapsed="false">
      <c r="A12" s="12" t="s">
        <v>29</v>
      </c>
      <c r="B12" s="12" t="n">
        <f aca="false">COUNTIF(Backlog!B:B,"E01 Canevas &amp; objets")</f>
        <v>10</v>
      </c>
      <c r="C12" s="12" t="n">
        <f aca="false">COUNTIFS(Backlog!B:B,"E01 Canevas &amp; objets",Backlog!F:F,"Must")</f>
        <v>7</v>
      </c>
      <c r="D12" s="12"/>
      <c r="E12" s="12"/>
    </row>
    <row r="13" customFormat="false" ht="15" hidden="false" customHeight="false" outlineLevel="0" collapsed="false">
      <c r="A13" s="12" t="s">
        <v>60</v>
      </c>
      <c r="B13" s="12" t="n">
        <f aca="false">COUNTIF(Backlog!B:B,"E02 Collaboration temps réel")</f>
        <v>7</v>
      </c>
      <c r="C13" s="12" t="n">
        <f aca="false">COUNTIFS(Backlog!B:B,"E02 Collaboration temps réel",Backlog!F:F,"Must")</f>
        <v>4</v>
      </c>
      <c r="D13" s="12"/>
      <c r="E13" s="12"/>
    </row>
    <row r="14" customFormat="false" ht="15" hidden="false" customHeight="false" outlineLevel="0" collapsed="false">
      <c r="A14" s="12" t="s">
        <v>152</v>
      </c>
      <c r="B14" s="12" t="n">
        <f aca="false">COUNTIF(Backlog!B:B,"E03 Facilitation &amp; ateliers")</f>
        <v>9</v>
      </c>
      <c r="C14" s="12" t="n">
        <f aca="false">COUNTIFS(Backlog!B:B,"E03 Facilitation &amp; ateliers",Backlog!F:F,"Must")</f>
        <v>3</v>
      </c>
      <c r="D14" s="12"/>
      <c r="E14" s="12"/>
    </row>
    <row r="15" customFormat="false" ht="15" hidden="false" customHeight="false" outlineLevel="0" collapsed="false">
      <c r="A15" s="12" t="s">
        <v>75</v>
      </c>
      <c r="B15" s="12" t="n">
        <f aca="false">COUNTIF(Backlog!B:B,"E04 Modèles")</f>
        <v>3</v>
      </c>
      <c r="C15" s="12" t="n">
        <f aca="false">COUNTIFS(Backlog!B:B,"E04 Modèles",Backlog!F:F,"Must")</f>
        <v>2</v>
      </c>
      <c r="D15" s="12"/>
      <c r="E15" s="12"/>
    </row>
    <row r="16" customFormat="false" ht="15" hidden="false" customHeight="false" outlineLevel="0" collapsed="false">
      <c r="A16" s="12" t="s">
        <v>183</v>
      </c>
      <c r="B16" s="12" t="n">
        <f aca="false">COUNTIF(Backlog!B:B,"E05 Diagrammes &amp; structuration")</f>
        <v>4</v>
      </c>
      <c r="C16" s="12" t="n">
        <f aca="false">COUNTIFS(Backlog!B:B,"E05 Diagrammes &amp; structuration",Backlog!F:F,"Must")</f>
        <v>1</v>
      </c>
      <c r="D16" s="12"/>
      <c r="E16" s="12"/>
    </row>
    <row r="17" customFormat="false" ht="15" hidden="false" customHeight="false" outlineLevel="0" collapsed="false">
      <c r="A17" s="12" t="s">
        <v>130</v>
      </c>
      <c r="B17" s="12" t="n">
        <f aca="false">COUNTIF(Backlog!B:B,"E06 Intelligence artificielle")</f>
        <v>6</v>
      </c>
      <c r="C17" s="12" t="n">
        <f aca="false">COUNTIFS(Backlog!B:B,"E06 Intelligence artificielle",Backlog!F:F,"Must")</f>
        <v>2</v>
      </c>
      <c r="D17" s="12"/>
      <c r="E17" s="12"/>
    </row>
    <row r="18" customFormat="false" ht="15" hidden="false" customHeight="false" outlineLevel="0" collapsed="false">
      <c r="A18" s="12" t="s">
        <v>191</v>
      </c>
      <c r="B18" s="12" t="n">
        <f aca="false">COUNTIF(Backlog!B:B,"E07 Continuum &amp; intégrations")</f>
        <v>4</v>
      </c>
      <c r="C18" s="12" t="n">
        <f aca="false">COUNTIFS(Backlog!B:B,"E07 Continuum &amp; intégrations",Backlog!F:F,"Must")</f>
        <v>2</v>
      </c>
      <c r="D18" s="12"/>
      <c r="E18" s="12"/>
    </row>
    <row r="19" customFormat="false" ht="15" hidden="false" customHeight="false" outlineLevel="0" collapsed="false">
      <c r="A19" s="12" t="s">
        <v>82</v>
      </c>
      <c r="B19" s="12" t="n">
        <f aca="false">COUNTIF(Backlog!B:B,"E08 Partage &amp; administration")</f>
        <v>4</v>
      </c>
      <c r="C19" s="12" t="n">
        <f aca="false">COUNTIFS(Backlog!B:B,"E08 Partage &amp; administration",Backlog!F:F,"Must")</f>
        <v>4</v>
      </c>
      <c r="D19" s="12"/>
      <c r="E19" s="12"/>
    </row>
    <row r="20" customFormat="false" ht="15" hidden="false" customHeight="false" outlineLevel="0" collapsed="false">
      <c r="A20" s="12" t="s">
        <v>100</v>
      </c>
      <c r="B20" s="12" t="n">
        <f aca="false">COUNTIF(Backlog!B:B,"E09 Sécurité &amp; gouvernance")</f>
        <v>12</v>
      </c>
      <c r="C20" s="12" t="n">
        <f aca="false">COUNTIFS(Backlog!B:B,"E09 Sécurité &amp; gouvernance",Backlog!F:F,"Must")</f>
        <v>8</v>
      </c>
      <c r="D20" s="12"/>
      <c r="E20" s="12"/>
    </row>
    <row r="21" customFormat="false" ht="15" hidden="false" customHeight="false" outlineLevel="0" collapsed="false">
      <c r="A21" s="12" t="s">
        <v>96</v>
      </c>
      <c r="B21" s="12" t="n">
        <f aca="false">COUNTIF(Backlog!B:B,"E10 Plateformes")</f>
        <v>3</v>
      </c>
      <c r="C21" s="12" t="n">
        <f aca="false">COUNTIFS(Backlog!B:B,"E10 Plateformes",Backlog!F:F,"Must")</f>
        <v>1</v>
      </c>
      <c r="D21" s="12"/>
      <c r="E21" s="12"/>
    </row>
    <row r="22" customFormat="false" ht="15" hidden="false" customHeight="false" outlineLevel="0" collapsed="false">
      <c r="A22" s="12" t="s">
        <v>177</v>
      </c>
      <c r="B22" s="12" t="n">
        <f aca="false">COUNTIF(Backlog!B:B,"E11 Engagement")</f>
        <v>3</v>
      </c>
      <c r="C22" s="12" t="n">
        <f aca="false">COUNTIFS(Backlog!B:B,"E11 Engagement",Backlog!F:F,"Must")</f>
        <v>0</v>
      </c>
      <c r="D22" s="12"/>
      <c r="E22" s="12"/>
    </row>
    <row r="23" customFormat="false" ht="15" hidden="false" customHeight="false" outlineLevel="0" collapsed="false">
      <c r="A23" s="12" t="s">
        <v>268</v>
      </c>
      <c r="B23" s="12" t="n">
        <f aca="false">COUNTIF(Backlog!B:B,"E12 Extensibilité")</f>
        <v>3</v>
      </c>
      <c r="C23" s="12" t="n">
        <f aca="false">COUNTIFS(Backlog!B:B,"E12 Extensibilité",Backlog!F:F,"Must")</f>
        <v>0</v>
      </c>
      <c r="D23" s="12"/>
      <c r="E23" s="12"/>
    </row>
    <row r="24" customFormat="false" ht="15" hidden="false" customHeight="false" outlineLevel="0" collapsed="false">
      <c r="A24" s="12" t="s">
        <v>113</v>
      </c>
      <c r="B24" s="12" t="n">
        <f aca="false">COUNTIF(Backlog!B:B,"E13 Performance &amp; NFR")</f>
        <v>12</v>
      </c>
      <c r="C24" s="12" t="n">
        <f aca="false">COUNTIFS(Backlog!B:B,"E13 Performance &amp; NFR",Backlog!F:F,"Must")</f>
        <v>5</v>
      </c>
      <c r="D24" s="12"/>
      <c r="E24" s="12"/>
    </row>
    <row r="25" customFormat="false" ht="15" hidden="false" customHeight="false" outlineLevel="0" collapsed="false">
      <c r="A25" s="12" t="s">
        <v>252</v>
      </c>
      <c r="B25" s="12" t="n">
        <f aca="false">COUNTIF(Backlog!B:B,"E14 Licences &amp; modèle éco.")</f>
        <v>2</v>
      </c>
      <c r="C25" s="12" t="n">
        <f aca="false">COUNTIFS(Backlog!B:B,"E14 Licences &amp; modèle éco.",Backlog!F:F,"Must")</f>
        <v>2</v>
      </c>
      <c r="D25" s="12"/>
      <c r="E25" s="12"/>
    </row>
    <row r="26" customFormat="false" ht="15" hidden="false" customHeight="false" outlineLevel="0" collapsed="false">
      <c r="A26" s="12" t="s">
        <v>402</v>
      </c>
      <c r="B26" s="12" t="n">
        <f aca="false">COUNTIF(Backlog!B:B,"E15 Innovation")</f>
        <v>8</v>
      </c>
      <c r="C26" s="12" t="n">
        <f aca="false">COUNTIFS(Backlog!B:B,"E15 Innovation",Backlog!F:F,"Must")</f>
        <v>0</v>
      </c>
      <c r="D26" s="12"/>
      <c r="E26" s="12"/>
    </row>
    <row r="27" customFormat="false" ht="15" hidden="false" customHeight="false" outlineLevel="0" collapsed="false">
      <c r="A27" s="12" t="s">
        <v>444</v>
      </c>
      <c r="B27" s="12" t="n">
        <f aca="false">COUNTIF(Backlog!B:B,"E16 Chantiers SI")</f>
        <v>8</v>
      </c>
      <c r="C27" s="12" t="n">
        <f aca="false">COUNTIFS(Backlog!B:B,"E16 Chantiers SI",Backlog!F:F,"Must")</f>
        <v>4</v>
      </c>
      <c r="D27" s="12"/>
      <c r="E27" s="12"/>
    </row>
    <row r="28" customFormat="false" ht="15" hidden="false" customHeight="false" outlineLevel="0" collapsed="false">
      <c r="A28" s="13" t="s">
        <v>486</v>
      </c>
      <c r="B28" s="13" t="n">
        <f aca="false">SUM(B12:B27)</f>
        <v>98</v>
      </c>
      <c r="C28" s="13" t="n">
        <f aca="false">SUM(C12:C27)</f>
        <v>45</v>
      </c>
      <c r="D28" s="12"/>
      <c r="E2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2026-07-03T16:29:05Z</dcterms:created>
  <dc:creator>openpyxl</dc:creator>
  <dc:description/>
  <dc:language>en-US</dc:language>
  <cp:lastModifiedBy/>
  <dcterms:modified xsi:type="dcterms:W3CDTF">2026-07-03T16:29:05Z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