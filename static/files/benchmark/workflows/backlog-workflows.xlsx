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Backlog" sheetId="2" state="visible" r:id="rId4"/>
    <sheet name="Synthèse" sheetId="3" state="visible" r:id="rId5"/>
  </sheets>
  <definedNames>
    <definedName function="false" hidden="true" localSheetId="1" name="_xlnm._FilterDatabase" vbProcedure="false">Backlog!$A$1:$J$85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<sst xmlns="http://schemas.openxmlformats.org/spreadsheetml/2006/main" count="907" uniqueCount="452">
  <si>
    <t xml:space="preserve">Backlog consolidé — Plateforme de création de workflows / automatisation</t>
  </si>
  <si>
    <t xml:space="preserve">Objet</t>
  </si>
  <si>
    <t xml:space="preserve">Backlog unique consolidant les exigences des 6 cahiers de spécifications (n8n, Activepieces, Power Automate, Zapier, IFTTT, Gumloop), dédoublonnées et priorisées selon le dossier de synthèse du 4 juillet 2026.</t>
  </si>
  <si>
    <t xml:space="preserve">Logique de priorisation</t>
  </si>
  <si>
    <t xml:space="preserve">P0 — Socle</t>
  </si>
  <si>
    <t xml:space="preserve">Intersection des 6 outils (dossier §4) : le ticket d'entrée de la catégorie, non différenciant. Must, Lot 1.</t>
  </si>
  <si>
    <t xml:space="preserve">P1 — Quasi-standard &amp; SI</t>
  </si>
  <si>
    <t xml:space="preserve">Intersections 3-5/6 (dossier §5) + exigences critiques des insights SI (I2 à I9). Lots 1-3.</t>
  </si>
  <si>
    <t xml:space="preserve">P2 — Différenciant</t>
  </si>
  <si>
    <t xml:space="preserve">Fonctionnalités rares, 1-2 outils (dossier §5.3/§6). À activer selon le positionnement (souveraineté, RPA, catalogue, IoT, IA de masse). Lots 3-4.</t>
  </si>
  <si>
    <t xml:space="preserve">P3 — Innovation</t>
  </si>
  <si>
    <t xml:space="preserve">Bonus B1-B8 (dossier §7) : absents du marché. Lot 4.</t>
  </si>
  <si>
    <t xml:space="preserve">Colonnes</t>
  </si>
  <si>
    <t xml:space="preserve">Origine</t>
  </si>
  <si>
    <t xml:space="preserve">Socle 6/6, Quasi-standard n/6, Différenciant [outil], Bonus Bn, Insight In, NFR, Contexte FR/UE.</t>
  </si>
  <si>
    <t xml:space="preserve">Complexité</t>
  </si>
  <si>
    <t xml:space="preserve">S (jours), M (1-2 sprints), L (3-6 sprints), XL (chantier).</t>
  </si>
  <si>
    <t xml:space="preserve">Épique E15</t>
  </si>
  <si>
    <t xml:space="preserve">Chantiers SI hors produit : décisions d'architecture, gouvernance, contractualisation, adoption.</t>
  </si>
  <si>
    <t xml:space="preserve">Note souveraineté</t>
  </si>
  <si>
    <t xml:space="preserve">WF-041/076 : les items 'Could' de souveraineté deviennent 'Must' si l'organisation traite des données sensibles (dossier §8-I3).</t>
  </si>
  <si>
    <t xml:space="preserve">Total items</t>
  </si>
  <si>
    <t xml:space="preserve">ID</t>
  </si>
  <si>
    <t xml:space="preserve">Épique</t>
  </si>
  <si>
    <t xml:space="preserve">Item</t>
  </si>
  <si>
    <t xml:space="preserve">Description</t>
  </si>
  <si>
    <t xml:space="preserve">Priorité</t>
  </si>
  <si>
    <t xml:space="preserve">MoSCoW</t>
  </si>
  <si>
    <t xml:space="preserve">Lot cible</t>
  </si>
  <si>
    <t xml:space="preserve">Justification (dossier)</t>
  </si>
  <si>
    <t xml:space="preserve">WF-001</t>
  </si>
  <si>
    <t xml:space="preserve">E01 Éditeur &amp; logique</t>
  </si>
  <si>
    <t xml:space="preserve">Modèle déclencheur -&gt; actions</t>
  </si>
  <si>
    <t xml:space="preserve">Workflows multi-étapes : un déclencheur, une ou plusieurs actions séquentielles.</t>
  </si>
  <si>
    <t xml:space="preserve">P0</t>
  </si>
  <si>
    <t xml:space="preserve">Must</t>
  </si>
  <si>
    <t xml:space="preserve">Lot 1</t>
  </si>
  <si>
    <t xml:space="preserve">Socle 6/6</t>
  </si>
  <si>
    <t xml:space="preserve">Dossier §4 : présent chez les 6</t>
  </si>
  <si>
    <t xml:space="preserve">M</t>
  </si>
  <si>
    <t xml:space="preserve">WF-002</t>
  </si>
  <si>
    <t xml:space="preserve">Constructeur visuel no-code</t>
  </si>
  <si>
    <t xml:space="preserve">Éditeur glisser-déposer utilisable sans compétence technique, avec test pas à pas.</t>
  </si>
  <si>
    <t xml:space="preserve">Dossier §4</t>
  </si>
  <si>
    <t xml:space="preserve">L</t>
  </si>
  <si>
    <t xml:space="preserve">WF-003</t>
  </si>
  <si>
    <t xml:space="preserve">E03 Catalogue</t>
  </si>
  <si>
    <t xml:space="preserve">Catalogue d'intégrations</t>
  </si>
  <si>
    <t xml:space="preserve">Connecteurs applicatifs avec authentification gérée (OAuth, clés) et connexion en quelques clics.</t>
  </si>
  <si>
    <t xml:space="preserve">XL</t>
  </si>
  <si>
    <t xml:space="preserve">WF-004</t>
  </si>
  <si>
    <t xml:space="preserve">E02 Déclencheurs &amp; connectivité</t>
  </si>
  <si>
    <t xml:space="preserve">Webhooks entrants</t>
  </si>
  <si>
    <t xml:space="preserve">Déclenchement temps réel par webhook, URL unique par workflow.</t>
  </si>
  <si>
    <t xml:space="preserve">WF-005</t>
  </si>
  <si>
    <t xml:space="preserve">Planification</t>
  </si>
  <si>
    <t xml:space="preserve">Exécutions programmées (cron, intervalles) sans déclencheur externe.</t>
  </si>
  <si>
    <t xml:space="preserve">S</t>
  </si>
  <si>
    <t xml:space="preserve">WF-006</t>
  </si>
  <si>
    <t xml:space="preserve">E04 Fiabilité &amp; exploitation</t>
  </si>
  <si>
    <t xml:space="preserve">Journal des exécutions</t>
  </si>
  <si>
    <t xml:space="preserve">Historique de chaque run : statut, données d'entrée/sortie par étape, durée.</t>
  </si>
  <si>
    <t xml:space="preserve">WF-007</t>
  </si>
  <si>
    <t xml:space="preserve">E07 Gouvernance &amp; sécurité</t>
  </si>
  <si>
    <t xml:space="preserve">Credentials centralisés</t>
  </si>
  <si>
    <t xml:space="preserve">Gestion centralisée et chiffrée des identifiants de connexion, réutilisables entre workflows.</t>
  </si>
  <si>
    <t xml:space="preserve">Dossier §4 ; renforcé en WF-036 (I4)</t>
  </si>
  <si>
    <t xml:space="preserve">WF-008</t>
  </si>
  <si>
    <t xml:space="preserve">Bibliothèque de modèles</t>
  </si>
  <si>
    <t xml:space="preserve">Modèles de workflows prêts à l'emploi par cas d'usage, activables en un clic.</t>
  </si>
  <si>
    <t xml:space="preserve">WF-009</t>
  </si>
  <si>
    <t xml:space="preserve">E05 IA &amp; agents</t>
  </si>
  <si>
    <t xml:space="preserve">Étapes IA de base</t>
  </si>
  <si>
    <t xml:space="preserve">Étapes appelant un LLM dans un workflow (résumé, classification, génération).</t>
  </si>
  <si>
    <t xml:space="preserve">Dossier §4 : accès IA généralisé chez les 6</t>
  </si>
  <si>
    <t xml:space="preserve">WF-010</t>
  </si>
  <si>
    <t xml:space="preserve">E12 Licences &amp; modèle éco.</t>
  </si>
  <si>
    <t xml:space="preserve">Offre gratuite d'appel</t>
  </si>
  <si>
    <t xml:space="preserve">Plan gratuit permanent réellement utilisable (leçon IFTTT : 2 applets = entonnoir détruit).</t>
  </si>
  <si>
    <t xml:space="preserve">Dossier §4 + limite IFTTT documentée</t>
  </si>
  <si>
    <t xml:space="preserve">WF-011</t>
  </si>
  <si>
    <t xml:space="preserve">Connecteur HTTP générique</t>
  </si>
  <si>
    <t xml:space="preserve">Appel de toute API REST (méthodes, en-têtes, authentifications standard) et webhooks sortants.</t>
  </si>
  <si>
    <t xml:space="preserve">Quasi-socle (n8n, AP, Zapier, PA, IFTTT)</t>
  </si>
  <si>
    <t xml:space="preserve">Cahiers : compense tout connecteur manquant</t>
  </si>
  <si>
    <t xml:space="preserve">WF-012</t>
  </si>
  <si>
    <t xml:space="preserve">E13 NFR</t>
  </si>
  <si>
    <t xml:space="preserve">Chiffrement &amp; RGPD</t>
  </si>
  <si>
    <t xml:space="preserve">TLS 1.2+, chiffrement au repos, RGPD avec DPA ; certifications SOC 2/ISO 27001 visées.</t>
  </si>
  <si>
    <t xml:space="preserve">NFR des 6 cahiers</t>
  </si>
  <si>
    <t xml:space="preserve">Cahiers ENF</t>
  </si>
  <si>
    <t xml:space="preserve">WF-013</t>
  </si>
  <si>
    <t xml:space="preserve">Disponibilité 99,9 %</t>
  </si>
  <si>
    <t xml:space="preserve">SLA &gt;= 99,9 %, page de statut ; aucune perte d'exécution en cas de redémarrage (persistance).</t>
  </si>
  <si>
    <t xml:space="preserve">WF-014</t>
  </si>
  <si>
    <t xml:space="preserve">Logique avancée</t>
  </si>
  <si>
    <t xml:space="preserve">Branches conditionnelles, boucles, fusion de branches, filtres, transformation de données.</t>
  </si>
  <si>
    <t xml:space="preserve">P1</t>
  </si>
  <si>
    <t xml:space="preserve">Quasi-standard 5/6 (sauf IFTTT)</t>
  </si>
  <si>
    <t xml:space="preserve">Dossier §5.1 : la frontière outil perso/pro</t>
  </si>
  <si>
    <t xml:space="preserve">WF-015</t>
  </si>
  <si>
    <t xml:space="preserve">Étapes de code</t>
  </si>
  <si>
    <t xml:space="preserve">Code JavaScript/Python/TypeScript librement mixé aux étapes visuelles.</t>
  </si>
  <si>
    <t xml:space="preserve">Lot 2</t>
  </si>
  <si>
    <t xml:space="preserve">Quasi-standard 5/6</t>
  </si>
  <si>
    <t xml:space="preserve">Dossier §5.1 ; complet chez n8n</t>
  </si>
  <si>
    <t xml:space="preserve">WF-016</t>
  </si>
  <si>
    <t xml:space="preserve">Sub-workflows</t>
  </si>
  <si>
    <t xml:space="preserve">Sous-workflows réutilisables et appelables entre workflows.</t>
  </si>
  <si>
    <t xml:space="preserve">Should</t>
  </si>
  <si>
    <t xml:space="preserve">3/6 (n8n, Zapier, Gumloop)</t>
  </si>
  <si>
    <t xml:space="preserve">Cahiers EDT/ZAP/PIP</t>
  </si>
  <si>
    <t xml:space="preserve">WF-017</t>
  </si>
  <si>
    <t xml:space="preserve">Gestion d'erreurs structurée</t>
  </si>
  <si>
    <t xml:space="preserve">Retries paramétrables, workflows d'erreur (rattrapage automatique), alertes avant impact client.</t>
  </si>
  <si>
    <t xml:space="preserve">Dossier §5.1 + I7 : processus de production</t>
  </si>
  <si>
    <t xml:space="preserve">WF-018</t>
  </si>
  <si>
    <t xml:space="preserve">Rejeu des exécutions</t>
  </si>
  <si>
    <t xml:space="preserve">Replay des runs en erreur sans perte ni doublon de données.</t>
  </si>
  <si>
    <t xml:space="preserve">4/6</t>
  </si>
  <si>
    <t xml:space="preserve">Dossier §5.1</t>
  </si>
  <si>
    <t xml:space="preserve">WF-019</t>
  </si>
  <si>
    <t xml:space="preserve">Agents IA outillés</t>
  </si>
  <si>
    <t xml:space="preserve">Agents : mission, prompt, outils (catalogue/API), mémoire, insérables dans les workflows.</t>
  </si>
  <si>
    <t xml:space="preserve">Lot 3</t>
  </si>
  <si>
    <t xml:space="preserve">Dossier §5.1 : la convergence 2026</t>
  </si>
  <si>
    <t xml:space="preserve">WF-020</t>
  </si>
  <si>
    <t xml:space="preserve">Garde-fous d'agents</t>
  </si>
  <si>
    <t xml:space="preserve">Guardrails : périmètre d'actions, validations obligatoires, limites ; journalisation de chaque action d'agent.</t>
  </si>
  <si>
    <t xml:space="preserve">Zapier généralisé + I5/I6</t>
  </si>
  <si>
    <t xml:space="preserve">Dossier §6.4 + §8-I6</t>
  </si>
  <si>
    <t xml:space="preserve">WF-021</t>
  </si>
  <si>
    <t xml:space="preserve">Copilote de construction</t>
  </si>
  <si>
    <t xml:space="preserve">Génération de workflow par description en langage naturel, avec révision humaine avant activation.</t>
  </si>
  <si>
    <t xml:space="preserve">4/6 (n8n, PA, Zapier, AP)</t>
  </si>
  <si>
    <t xml:space="preserve">Dossier §5.2 : en voie de généralisation</t>
  </si>
  <si>
    <t xml:space="preserve">WF-022</t>
  </si>
  <si>
    <t xml:space="preserve">E11 Extensibilité &amp; écosystème</t>
  </si>
  <si>
    <t xml:space="preserve">Serveur MCP</t>
  </si>
  <si>
    <t xml:space="preserve">Exposition des actions/workflows comme outils MCP aux assistants IA externes, avec contrôle administrateur du périmètre exposé.</t>
  </si>
  <si>
    <t xml:space="preserve">4/6 (AP pionnier, Zapier, PA, n8n)</t>
  </si>
  <si>
    <t xml:space="preserve">Dossier §5.2 : nouveau standard d'interopérabilité IA</t>
  </si>
  <si>
    <t xml:space="preserve">WF-023</t>
  </si>
  <si>
    <t xml:space="preserve">E06 Humain dans la boucle</t>
  </si>
  <si>
    <t xml:space="preserve">Approbations humaines</t>
  </si>
  <si>
    <t xml:space="preserve">Étapes d'approbation/revue bloquantes, assignables, multi-canaux (messagerie, e-mail, mobile), avec historique.</t>
  </si>
  <si>
    <t xml:space="preserve">4/6 (PA, AP Todos, Zapier HITL, n8n)</t>
  </si>
  <si>
    <t xml:space="preserve">Dossier §5.2 : maturité pour processus à enjeu</t>
  </si>
  <si>
    <t xml:space="preserve">WF-024</t>
  </si>
  <si>
    <t xml:space="preserve">SSO, rôles, audit</t>
  </si>
  <si>
    <t xml:space="preserve">SSO (SAML/OIDC), RBAC par projet/workflow, journaux d'audit complets exportables (SIEM).</t>
  </si>
  <si>
    <t xml:space="preserve">WF-025</t>
  </si>
  <si>
    <t xml:space="preserve">Contrôle des connecteurs et modèles</t>
  </si>
  <si>
    <t xml:space="preserve">Politiques type DLP : allowlist/blocage de connecteurs, d'apps et de modèles IA, par environnement ou équipe.</t>
  </si>
  <si>
    <t xml:space="preserve">4/6 (PA DLP, Zapier, Gumloop, AP) + I3/I5</t>
  </si>
  <si>
    <t xml:space="preserve">Dossier §5.2 + §8-I3 : par politique outillée, pas par circulaire</t>
  </si>
  <si>
    <t xml:space="preserve">WF-026</t>
  </si>
  <si>
    <t xml:space="preserve">Versioning des workflows</t>
  </si>
  <si>
    <t xml:space="preserve">Versions avec diff visuel, retour arrière ; intégration Git souhaitée.</t>
  </si>
  <si>
    <t xml:space="preserve">3/6 (n8n Git, AP diff, PA ALM)</t>
  </si>
  <si>
    <t xml:space="preserve">Dossier §5.2</t>
  </si>
  <si>
    <t xml:space="preserve">WF-027</t>
  </si>
  <si>
    <t xml:space="preserve">Environnements dev/test/prod</t>
  </si>
  <si>
    <t xml:space="preserve">Environnements isolés avec promotion contrôlée des workflows (pipelines).</t>
  </si>
  <si>
    <t xml:space="preserve">3/6 (n8n, AP, PA)</t>
  </si>
  <si>
    <t xml:space="preserve">Dossier §5.2 : prérequis d'industrialisation</t>
  </si>
  <si>
    <t xml:space="preserve">WF-028</t>
  </si>
  <si>
    <t xml:space="preserve">Base de données native</t>
  </si>
  <si>
    <t xml:space="preserve">Tables natives liées aux workflows (lecture/écriture/déclenchement), non facturées à l'usage.</t>
  </si>
  <si>
    <t xml:space="preserve">3/6 (Zapier, AP, PA Dataverse)</t>
  </si>
  <si>
    <t xml:space="preserve">Dossier §5.2 : le workflow absorbe le datastore</t>
  </si>
  <si>
    <t xml:space="preserve">WF-029</t>
  </si>
  <si>
    <t xml:space="preserve">Coffre-fort de secrets renforcé</t>
  </si>
  <si>
    <t xml:space="preserve">Portée limitée (scoped access), rotation, moindre privilège par workflow, secrets jamais dans les logs, audit de chaque utilisation.</t>
  </si>
  <si>
    <t xml:space="preserve">Insight I4</t>
  </si>
  <si>
    <t xml:space="preserve">Dossier §8-I4 : 'les clés du royaume' — critère sécurité n°1</t>
  </si>
  <si>
    <t xml:space="preserve">WF-030</t>
  </si>
  <si>
    <t xml:space="preserve">Traçabilité des appels de modèles</t>
  </si>
  <si>
    <t xml:space="preserve">Journal de chaque appel IA (modèle, données, workflow appelant) dans une couche unique d'audit.</t>
  </si>
  <si>
    <t xml:space="preserve">Gumloop (Gumstack) généralisé + I6/I9</t>
  </si>
  <si>
    <t xml:space="preserve">Dossier §6.6 + §8 : exigible partout</t>
  </si>
  <si>
    <t xml:space="preserve">WF-031</t>
  </si>
  <si>
    <t xml:space="preserve">Garanties de données IA</t>
  </si>
  <si>
    <t xml:space="preserve">Non-entraînement sur les données, ZDR avec les fournisseurs de modèles, localisation des traitements — contractualisés.</t>
  </si>
  <si>
    <t xml:space="preserve">Insight I9 (Gumloop prouve que c'est obtenable)</t>
  </si>
  <si>
    <t xml:space="preserve">Dossier §8-I9</t>
  </si>
  <si>
    <t xml:space="preserve">WF-032</t>
  </si>
  <si>
    <t xml:space="preserve">Validation des sorties IA</t>
  </si>
  <si>
    <t xml:space="preserve">Sorties structurées validées par schéma, taux d'erreur mesuré par étape IA, gestion des non-conformités.</t>
  </si>
  <si>
    <t xml:space="preserve">Insight I6 (règle 'IA minimale')</t>
  </si>
  <si>
    <t xml:space="preserve">Dossier §8-I6 : principe d'architecture universel</t>
  </si>
  <si>
    <t xml:space="preserve">WF-033</t>
  </si>
  <si>
    <t xml:space="preserve">Compteurs et alertes budget</t>
  </si>
  <si>
    <t xml:space="preserve">Consommation (tâches/crédits/capacité) visible en temps réel, alertes avant plafond, budgets par équipe.</t>
  </si>
  <si>
    <t xml:space="preserve">Insight I2 + Gumloop/Zapier</t>
  </si>
  <si>
    <t xml:space="preserve">Dossier §8-I2 : trois pathologies économiques documentées</t>
  </si>
  <si>
    <t xml:space="preserve">WF-034</t>
  </si>
  <si>
    <t xml:space="preserve">Inventaire et propriétaires</t>
  </si>
  <si>
    <t xml:space="preserve">Inventaire des workflows avec propriétaire obligatoire, dépendances, connexions, criticité ; reporting d'usage consolidé.</t>
  </si>
  <si>
    <t xml:space="preserve">PA (admin center) généralisé + I5</t>
  </si>
  <si>
    <t xml:space="preserve">Dossier §8-I5 : contre le shadow IT de workflows</t>
  </si>
  <si>
    <t xml:space="preserve">WF-035</t>
  </si>
  <si>
    <t xml:space="preserve">Réversibilité</t>
  </si>
  <si>
    <t xml:space="preserve">Export exploitable des workflows et de l'historique ; documentation attachée à chaque flux ; procédure de sortie documentée.</t>
  </si>
  <si>
    <t xml:space="preserve">Insight I9 + Zapier (Documentation)</t>
  </si>
  <si>
    <t xml:space="preserve">WF-036</t>
  </si>
  <si>
    <t xml:space="preserve">Latence et fraîcheur</t>
  </si>
  <si>
    <t xml:space="preserve">Déclenchement webhook &lt; 1 s ; polling &lt;= 5 min sur plans payants (leçon IFTTT : 15 min = 1re frustration).</t>
  </si>
  <si>
    <t xml:space="preserve">NFR + limite IFTTT</t>
  </si>
  <si>
    <t xml:space="preserve">Dossier §6.5/cahier IFTTT ENF-01</t>
  </si>
  <si>
    <t xml:space="preserve">WF-037</t>
  </si>
  <si>
    <t xml:space="preserve">Montée en charge</t>
  </si>
  <si>
    <t xml:space="preserve">Exécutions parallèles massives, files de travail, scaling horizontal (mode workers).</t>
  </si>
  <si>
    <t xml:space="preserve">n8n (queue mode), PA (work queues)</t>
  </si>
  <si>
    <t xml:space="preserve">Cahiers EXP</t>
  </si>
  <si>
    <t xml:space="preserve">WF-038</t>
  </si>
  <si>
    <t xml:space="preserve">Localisation FR</t>
  </si>
  <si>
    <t xml:space="preserve">Interface et documentation localisées en français.</t>
  </si>
  <si>
    <t xml:space="preserve">NFR contexte FR</t>
  </si>
  <si>
    <t xml:space="preserve">Cahiers ENF ; produits majoritairement anglophones</t>
  </si>
  <si>
    <t xml:space="preserve">WF-039</t>
  </si>
  <si>
    <t xml:space="preserve">E09 Suite &amp; expérience</t>
  </si>
  <si>
    <t xml:space="preserve">Applications mobiles</t>
  </si>
  <si>
    <t xml:space="preserve">Notifications, approbations et suivi des runs sur mobile.</t>
  </si>
  <si>
    <t xml:space="preserve">3/6 (PA, IFTTT, Zapier)</t>
  </si>
  <si>
    <t xml:space="preserve">Cahiers FLX/MOB</t>
  </si>
  <si>
    <t xml:space="preserve">WF-040</t>
  </si>
  <si>
    <t xml:space="preserve">Bac à sable de test</t>
  </si>
  <si>
    <t xml:space="preserve">Exécution à blanc avec données de test avant mise en production.</t>
  </si>
  <si>
    <t xml:space="preserve">Gumloop + n8n (itération)</t>
  </si>
  <si>
    <t xml:space="preserve">Cahiers EXP/PIP ; prépare B4</t>
  </si>
  <si>
    <t xml:space="preserve">WF-041</t>
  </si>
  <si>
    <t xml:space="preserve">E08 Souveraineté &amp; déploiement</t>
  </si>
  <si>
    <t xml:space="preserve">Auto-hébergement complet</t>
  </si>
  <si>
    <t xml:space="preserve">Self-host Docker/Kubernetes documenté, y compris air-gap ; données 100 % dans le périmètre de l'organisation.</t>
  </si>
  <si>
    <t xml:space="preserve">P2</t>
  </si>
  <si>
    <t xml:space="preserve">Could</t>
  </si>
  <si>
    <t xml:space="preserve">Différenciant n8n/Activepieces</t>
  </si>
  <si>
    <t xml:space="preserve">Dossier §5.3/§8-I3 : classe A de souveraineté — Must si données sensibles</t>
  </si>
  <si>
    <t xml:space="preserve">WF-042</t>
  </si>
  <si>
    <t xml:space="preserve">Exécutions illimitées self-host</t>
  </si>
  <si>
    <t xml:space="preserve">Aucune facturation à la tâche/au crédit en auto-hébergement : coût plat prévisible.</t>
  </si>
  <si>
    <t xml:space="preserve">Dossier §8-I2 : gagne presque toujours à fort volume</t>
  </si>
  <si>
    <t xml:space="preserve">WF-043</t>
  </si>
  <si>
    <t xml:space="preserve">Licence open source du cœur</t>
  </si>
  <si>
    <t xml:space="preserve">Cœur sous licence permissive (MIT) : auditabilité, extension, réversibilité maximales.</t>
  </si>
  <si>
    <t xml:space="preserve">Différenciant Activepieces</t>
  </si>
  <si>
    <t xml:space="preserve">Dossier §6.2 : seule vraie MIT de la catégorie</t>
  </si>
  <si>
    <t xml:space="preserve">WF-044</t>
  </si>
  <si>
    <t xml:space="preserve">Déploiement VPC</t>
  </si>
  <si>
    <t xml:space="preserve">Exécution dans le cloud privé du client, intermédiaire entre SaaS et self-host.</t>
  </si>
  <si>
    <t xml:space="preserve">Différenciant Gumloop</t>
  </si>
  <si>
    <t xml:space="preserve">Dossier §6.6 : classe B de souveraineté</t>
  </si>
  <si>
    <t xml:space="preserve">WF-045</t>
  </si>
  <si>
    <t xml:space="preserve">Connecteurs communautaires typés</t>
  </si>
  <si>
    <t xml:space="preserve">Framework ouvert de création de connecteurs (paquets typés, hot reloading), contributions communautaires majoritaires.</t>
  </si>
  <si>
    <t xml:space="preserve">Différenciant Activepieces/n8n</t>
  </si>
  <si>
    <t xml:space="preserve">Dossier §5.3 : 60 % des pieces communautaires</t>
  </si>
  <si>
    <t xml:space="preserve">WF-046</t>
  </si>
  <si>
    <t xml:space="preserve">Workflows exposés en API</t>
  </si>
  <si>
    <t xml:space="preserve">Publication d'un workflow comme endpoint API sécurisé (le workflow devient un service).</t>
  </si>
  <si>
    <t xml:space="preserve">Dossier §5.3</t>
  </si>
  <si>
    <t xml:space="preserve">WF-047</t>
  </si>
  <si>
    <t xml:space="preserve">E10 RPA &amp; process intelligence</t>
  </si>
  <si>
    <t xml:space="preserve">RPA desktop</t>
  </si>
  <si>
    <t xml:space="preserve">Automatisation d'interfaces Windows : enregistreur, sélecteurs, attended/unattended, machines hébergées.</t>
  </si>
  <si>
    <t xml:space="preserve">Lot 4</t>
  </si>
  <si>
    <t xml:space="preserve">Différenciant Power Automate</t>
  </si>
  <si>
    <t xml:space="preserve">Dossier §6.3 : seul à couvrir le legacy sans API</t>
  </si>
  <si>
    <t xml:space="preserve">WF-048</t>
  </si>
  <si>
    <t xml:space="preserve">RPA auto-réparante</t>
  </si>
  <si>
    <t xml:space="preserve">Self-healing : adaptation automatique quand l'interface cible change.</t>
  </si>
  <si>
    <t xml:space="preserve">Différenciant Power Automate 2026</t>
  </si>
  <si>
    <t xml:space="preserve">Dossier §6.3 ; répond à la fragilité RPA documentée</t>
  </si>
  <si>
    <t xml:space="preserve">WF-049</t>
  </si>
  <si>
    <t xml:space="preserve">Process mining</t>
  </si>
  <si>
    <t xml:space="preserve">Ingestion de journaux, cartographie des processus, détection des goulots, KPI personnalisés.</t>
  </si>
  <si>
    <t xml:space="preserve">Dossier §6.3</t>
  </si>
  <si>
    <t xml:space="preserve">WF-050</t>
  </si>
  <si>
    <t xml:space="preserve">Très grand catalogue</t>
  </si>
  <si>
    <t xml:space="preserve">Objectif 5 000+ applications avec profondeur (10+ triggers/actions sur les apps majeures) et actions personnalisées.</t>
  </si>
  <si>
    <t xml:space="preserve">Différenciant Zapier (8 000+)</t>
  </si>
  <si>
    <t xml:space="preserve">Dossier §6.4 : inatteignable à court terme — arbitrer vs HTTP/MCP</t>
  </si>
  <si>
    <t xml:space="preserve">WF-051</t>
  </si>
  <si>
    <t xml:space="preserve">Interfaces no-code</t>
  </si>
  <si>
    <t xml:space="preserve">Formulaires, pages et mini-apps déclenchant les workflows, non facturés à l'usage.</t>
  </si>
  <si>
    <t xml:space="preserve">Différenciant Zapier (+AP embed)</t>
  </si>
  <si>
    <t xml:space="preserve">Dossier §6.4</t>
  </si>
  <si>
    <t xml:space="preserve">WF-052</t>
  </si>
  <si>
    <t xml:space="preserve">Cartographie des processus</t>
  </si>
  <si>
    <t xml:space="preserve">Vue type Canvas : carte IA des workflows et actifs (tables, interfaces, agents), avec métriques et documentation.</t>
  </si>
  <si>
    <t xml:space="preserve">Différenciant Zapier</t>
  </si>
  <si>
    <t xml:space="preserve">Dossier §6.4 : unique sur le marché ; sert I9 (documentation)</t>
  </si>
  <si>
    <t xml:space="preserve">WF-053</t>
  </si>
  <si>
    <t xml:space="preserve">BYOM et versions d'agents</t>
  </si>
  <si>
    <t xml:space="preserve">Choix du modèle par le client (Bring Your Own Model), versions d'agents publiables, templates d'agents.</t>
  </si>
  <si>
    <t xml:space="preserve">WF-054</t>
  </si>
  <si>
    <t xml:space="preserve">Multi-agents</t>
  </si>
  <si>
    <t xml:space="preserve">Orchestration de plusieurs agents coordonnés (agents appelant workflows et autres agents).</t>
  </si>
  <si>
    <t xml:space="preserve">Différenciant n8n</t>
  </si>
  <si>
    <t xml:space="preserve">Dossier §6.1</t>
  </si>
  <si>
    <t xml:space="preserve">WF-055</t>
  </si>
  <si>
    <t xml:space="preserve">Briques RAG</t>
  </si>
  <si>
    <t xml:space="preserve">Embeddings, bases vectorielles, chargement documentaire pour agents informés.</t>
  </si>
  <si>
    <t xml:space="preserve">Cahier n8n EF-IA-04</t>
  </si>
  <si>
    <t xml:space="preserve">WF-056</t>
  </si>
  <si>
    <t xml:space="preserve">Pipelines IA documentaires</t>
  </si>
  <si>
    <t xml:space="preserve">Extraction structurée, classification, scoring sur documents (PDF, tableurs) en batch (milliers d'éléments).</t>
  </si>
  <si>
    <t xml:space="preserve">Différenciant Gumloop (+PA AI Builder)</t>
  </si>
  <si>
    <t xml:space="preserve">Dossier §6.6 : ce que les autres ne savent pas faire</t>
  </si>
  <si>
    <t xml:space="preserve">WF-057</t>
  </si>
  <si>
    <t xml:space="preserve">Agents proactifs en messagerie</t>
  </si>
  <si>
    <t xml:space="preserve">Agents déployés dans Slack/Teams/e-mail, interpellables par mention, surveillance et actions contextuelles.</t>
  </si>
  <si>
    <t xml:space="preserve">Dossier §6.6</t>
  </si>
  <si>
    <t xml:space="preserve">WF-058</t>
  </si>
  <si>
    <t xml:space="preserve">Scraping et navigateur</t>
  </si>
  <si>
    <t xml:space="preserve">Extraction structurée depuis toute URL, automatisation de navigateur, extension Chrome.</t>
  </si>
  <si>
    <t xml:space="preserve">WF-059</t>
  </si>
  <si>
    <t xml:space="preserve">IoT et domotique</t>
  </si>
  <si>
    <t xml:space="preserve">Déclencheurs/actions sur appareils connectés (capteurs, scènes, assistants vocaux) et localisation mobile.</t>
  </si>
  <si>
    <t xml:space="preserve">Différenciant IFTTT</t>
  </si>
  <si>
    <t xml:space="preserve">Dossier §6.5 : sans équivalent chez les acteurs pro — pertinent si cas d'usage terrain/bâtiment</t>
  </si>
  <si>
    <t xml:space="preserve">WF-060</t>
  </si>
  <si>
    <t xml:space="preserve">Partage communautaire</t>
  </si>
  <si>
    <t xml:space="preserve">Publication et activation en un clic de workflows communautaires ; collections éditorialisées.</t>
  </si>
  <si>
    <t xml:space="preserve">Différenciant IFTTT (+Gumloop, n8n templates)</t>
  </si>
  <si>
    <t xml:space="preserve">Dossier §6.5</t>
  </si>
  <si>
    <t xml:space="preserve">WF-061</t>
  </si>
  <si>
    <t xml:space="preserve">Embed OEM marque blanche</t>
  </si>
  <si>
    <t xml:space="preserve">SDK d'intégration du builder dans un produit tiers (provisionnement JWT, personnalisation).</t>
  </si>
  <si>
    <t xml:space="preserve">Différenciant Activepieces (+IFTTT Connect)</t>
  </si>
  <si>
    <t xml:space="preserve">WF-062</t>
  </si>
  <si>
    <t xml:space="preserve">Chatbots connectés</t>
  </si>
  <si>
    <t xml:space="preserve">Chatbots branchés aux workflows, désactivables par l'administrateur.</t>
  </si>
  <si>
    <t xml:space="preserve">WF-063</t>
  </si>
  <si>
    <t xml:space="preserve">Droits inclus dans la suite</t>
  </si>
  <si>
    <t xml:space="preserve">Si écosystème de suite : droits d'usage inclus dans les licences bureautiques (connecteurs standard).</t>
  </si>
  <si>
    <t xml:space="preserve">Dossier §6.3 : adoption sans friction</t>
  </si>
  <si>
    <t xml:space="preserve">WF-064</t>
  </si>
  <si>
    <t xml:space="preserve">Analytique IA unifiée</t>
  </si>
  <si>
    <t xml:space="preserve">Couche type Gumstack : source de vérité de toute l'activité IA (usage, flux de données, coûts) à l'échelle de l'organisation.</t>
  </si>
  <si>
    <t xml:space="preserve">Dossier §6.6 ; prolonge WF-030</t>
  </si>
  <si>
    <t xml:space="preserve">WF-065</t>
  </si>
  <si>
    <t xml:space="preserve">Estimation avant batch</t>
  </si>
  <si>
    <t xml:space="preserve">Estimation de la consommation (crédits/tâches) avant l'exécution d'un traitement de masse.</t>
  </si>
  <si>
    <t xml:space="preserve">Gumloop ENF-03 généralisé</t>
  </si>
  <si>
    <t xml:space="preserve">Cahier Gumloop ; prépare B1</t>
  </si>
  <si>
    <t xml:space="preserve">WF-066</t>
  </si>
  <si>
    <t xml:space="preserve">E14 Innovation</t>
  </si>
  <si>
    <t xml:space="preserve">Simulateur de coût total</t>
  </si>
  <si>
    <t xml:space="preserve">Estimation avant activation du coût mensuel d'un workflow à volume projeté (tâches, crédits, licences, appels IA), avec alerte d'emballement.</t>
  </si>
  <si>
    <t xml:space="preserve">P3</t>
  </si>
  <si>
    <t xml:space="preserve">Bonus B1</t>
  </si>
  <si>
    <t xml:space="preserve">Dossier §7-B1 : éviterait les 3 pathologies économiques documentées</t>
  </si>
  <si>
    <t xml:space="preserve">WF-067</t>
  </si>
  <si>
    <t xml:space="preserve">Registre inter-plateformes</t>
  </si>
  <si>
    <t xml:space="preserve">Inventaire unifié des automatisations tous outils confondus : propriétaires, credentials, dépendances, criticité ('CMDB de l'automatisation').</t>
  </si>
  <si>
    <t xml:space="preserve">Bonus B2</t>
  </si>
  <si>
    <t xml:space="preserve">Dossier §7-B2</t>
  </si>
  <si>
    <t xml:space="preserve">WF-068</t>
  </si>
  <si>
    <t xml:space="preserve">Format d'échange ouvert</t>
  </si>
  <si>
    <t xml:space="preserve">Standard d'export/import de workflows entre outils (déclencheurs, étapes, mappings) — portabilité anti lock-in.</t>
  </si>
  <si>
    <t xml:space="preserve">Bonus B3</t>
  </si>
  <si>
    <t xml:space="preserve">Dossier §7-B3</t>
  </si>
  <si>
    <t xml:space="preserve">WF-069</t>
  </si>
  <si>
    <t xml:space="preserve">Recette automatisée</t>
  </si>
  <si>
    <t xml:space="preserve">Tests de non-régression générés, environnements de test à données synthétiques/anonymisées, exécution à blanc certifiée ('CI/CD du workflow').</t>
  </si>
  <si>
    <t xml:space="preserve">Bonus B4</t>
  </si>
  <si>
    <t xml:space="preserve">Dossier §7-B4 : aujourd'hui on teste en production</t>
  </si>
  <si>
    <t xml:space="preserve">WF-070</t>
  </si>
  <si>
    <t xml:space="preserve">Explicabilité opposable</t>
  </si>
  <si>
    <t xml:space="preserve">Journal 'pourquoi' structuré par décision IA : données considérées, règle/prompt appliqué, alternatives écartées — conforme AI Act.</t>
  </si>
  <si>
    <t xml:space="preserve">Bonus B5 + AI Act</t>
  </si>
  <si>
    <t xml:space="preserve">Dossier §7-B5 : critique pour systèmes à risque</t>
  </si>
  <si>
    <t xml:space="preserve">WF-071</t>
  </si>
  <si>
    <t xml:space="preserve">Mode dégradé organisé</t>
  </si>
  <si>
    <t xml:space="preserve">Kill switch métier : bascule documentée vers la procédure manuelle, file des éléments non traités, reprise ordonnée.</t>
  </si>
  <si>
    <t xml:space="preserve">Bonus B6</t>
  </si>
  <si>
    <t xml:space="preserve">Dossier §7-B6 : continuité d'activité, angle mort des 6</t>
  </si>
  <si>
    <t xml:space="preserve">WF-072</t>
  </si>
  <si>
    <t xml:space="preserve">Pile souveraine certifiée</t>
  </si>
  <si>
    <t xml:space="preserve">Offre packagée : hébergement qualifié SecNumCloud + LLM européens/locaux dans les étapes IA + air-gap avec IA.</t>
  </si>
  <si>
    <t xml:space="preserve">Bonus B7 + contexte FR</t>
  </si>
  <si>
    <t xml:space="preserve">Dossier §7-B7 : l'intersection 'IA + souveraineté certifiée' est vide</t>
  </si>
  <si>
    <t xml:space="preserve">WF-073</t>
  </si>
  <si>
    <t xml:space="preserve">Packs conformité France</t>
  </si>
  <si>
    <t xml:space="preserve">Workflows certifiés pour les obligations FR : facturation électronique (PDP/PPF, échéance sept. 2026), DSN, archivage probant.</t>
  </si>
  <si>
    <t xml:space="preserve">Bonus B8 + contexte FR</t>
  </si>
  <si>
    <t xml:space="preserve">Dossier §7-B8 : différenciant immédiat sur le marché français</t>
  </si>
  <si>
    <t xml:space="preserve">WF-074</t>
  </si>
  <si>
    <t xml:space="preserve">E15 Chantiers SI</t>
  </si>
  <si>
    <t xml:space="preserve">Segmentation par persona</t>
  </si>
  <si>
    <t xml:space="preserve">Choisir par persona et cas d'usage (technique/métier/IA/personnel), pas 'le meilleur outil' ; IFTTT hors périmètre entreprise.</t>
  </si>
  <si>
    <t xml:space="preserve">Insight I1</t>
  </si>
  <si>
    <t xml:space="preserve">Dossier §8-I1</t>
  </si>
  <si>
    <t xml:space="preserve">WF-075</t>
  </si>
  <si>
    <t xml:space="preserve">Projection des volumes</t>
  </si>
  <si>
    <t xml:space="preserve">Projeter les volumes d'exécution à 3 ans avant de choisir le modèle de facturation ; simuler les scénarios (tâche/crédit/illimité/capacité).</t>
  </si>
  <si>
    <t xml:space="preserve">Insight I2</t>
  </si>
  <si>
    <t xml:space="preserve">Dossier §8-I2 : décision d'architecture</t>
  </si>
  <si>
    <t xml:space="preserve">WF-076</t>
  </si>
  <si>
    <t xml:space="preserve">Classification souveraineté</t>
  </si>
  <si>
    <t xml:space="preserve">Classer les flux de données ; interdire les SaaS classe C (US sans option) pour les données sensibles, par politique outillée (DLP).</t>
  </si>
  <si>
    <t xml:space="preserve">Insight I3</t>
  </si>
  <si>
    <t xml:space="preserve">Dossier §8-I3</t>
  </si>
  <si>
    <t xml:space="preserve">WF-077</t>
  </si>
  <si>
    <t xml:space="preserve">Stratégie socle + exception</t>
  </si>
  <si>
    <t xml:space="preserve">Un socle gouverné (PA si M365, sinon Zapier) + une exception technique souveraine (n8n/Activepieces) ; brique IA-native éventuelle sous gouvernance stricte.</t>
  </si>
  <si>
    <t xml:space="preserve">Insight I8</t>
  </si>
  <si>
    <t xml:space="preserve">Dossier §8-I8</t>
  </si>
  <si>
    <t xml:space="preserve">WF-078</t>
  </si>
  <si>
    <t xml:space="preserve">CoE et gouvernance citoyenne</t>
  </si>
  <si>
    <t xml:space="preserve">Centre d'excellence : propriétaires obligatoires, campagnes de conformité, détection des flux orphelins, formation des makers.</t>
  </si>
  <si>
    <t xml:space="preserve">Insight I5 + PA CoE</t>
  </si>
  <si>
    <t xml:space="preserve">Dossier §8-I5 : contre le nouveau shadow IT</t>
  </si>
  <si>
    <t xml:space="preserve">WF-079</t>
  </si>
  <si>
    <t xml:space="preserve">Principe 'IA minimale'</t>
  </si>
  <si>
    <t xml:space="preserve">Adopter la règle d'architecture : LLM réservé aux étapes de raisonnement, déterminisme partout ailleurs, sorties validées, appels tracés.</t>
  </si>
  <si>
    <t xml:space="preserve">Insight I6 (Gumloop)</t>
  </si>
  <si>
    <t xml:space="preserve">Dossier §8-I6</t>
  </si>
  <si>
    <t xml:space="preserve">WF-080</t>
  </si>
  <si>
    <t xml:space="preserve">Exploitation de production</t>
  </si>
  <si>
    <t xml:space="preserve">Supervision avec alertes, astreinte sur flux critiques, documentation et propriétaire par flux, procédure de secours manuelle.</t>
  </si>
  <si>
    <t xml:space="preserve">Insight I7</t>
  </si>
  <si>
    <t xml:space="preserve">Dossier §8-I7 : 'un flux non observable est un flux auquel on ne peut pas se fier'</t>
  </si>
  <si>
    <t xml:space="preserve">WF-081</t>
  </si>
  <si>
    <t xml:space="preserve">Contractualisation IA &amp; sortie</t>
  </si>
  <si>
    <t xml:space="preserve">Exiger au contrat : ZDR, non-entraînement, localisation des traitements IA, export exploitable ; tester la procédure de sortie pendant le POC.</t>
  </si>
  <si>
    <t xml:space="preserve">Insight I9</t>
  </si>
  <si>
    <t xml:space="preserve">WF-082</t>
  </si>
  <si>
    <t xml:space="preserve">Audit de sécurité credentials</t>
  </si>
  <si>
    <t xml:space="preserve">Audit dédié du composant : coffre-fort, rotation, moindre privilège, secrets hors logs — avant toute mise en production.</t>
  </si>
  <si>
    <t xml:space="preserve">Dossier §8-I4 : composant le plus sensible après l'annuaire</t>
  </si>
  <si>
    <t xml:space="preserve">WF-083</t>
  </si>
  <si>
    <t xml:space="preserve">Conformité AI Act</t>
  </si>
  <si>
    <t xml:space="preserve">Recenser les workflows à décision automatisée, classer les systèmes à risque, documenter (registre), prévoir l'explicabilité (cf. WF-070).</t>
  </si>
  <si>
    <t xml:space="preserve">Contexte UE (AI Act)</t>
  </si>
  <si>
    <t xml:space="preserve">Dossier §2/§3 ; obligation réglementaire applicable</t>
  </si>
  <si>
    <t xml:space="preserve">WF-084</t>
  </si>
  <si>
    <t xml:space="preserve">Accessibilité RGAA</t>
  </si>
  <si>
    <t xml:space="preserve">Vérifier la conformité RGAA 4/WCAG 2.1 AA des interfaces (builder, formulaires, approbations) exposées aux agents publics et collaborateurs.</t>
  </si>
  <si>
    <t xml:space="preserve">Contexte FR</t>
  </si>
  <si>
    <t xml:space="preserve">Au-delà du dossier : exigence type des organisations françaises</t>
  </si>
  <si>
    <t xml:space="preserve">Synthèse du backlog</t>
  </si>
  <si>
    <t xml:space="preserve">Par priorité</t>
  </si>
  <si>
    <t xml:space="preserve">Nombre</t>
  </si>
  <si>
    <t xml:space="preserve">Par lot</t>
  </si>
  <si>
    <t xml:space="preserve">P0 — Socle (6/6)</t>
  </si>
  <si>
    <t xml:space="preserve">Total</t>
  </si>
  <si>
    <t xml:space="preserve">Par épique</t>
  </si>
  <si>
    <t xml:space="preserve">Items</t>
  </si>
  <si>
    <t xml:space="preserve">dont Must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</si>
</sst>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2"/>
  </cols>
  <sheetData>
    <row r="1" customFormat="false" ht="79.8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/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15" hidden="false" customHeight="false" outlineLevel="0" collapsed="false">
      <c r="A6" s="2" t="s">
        <v>6</v>
      </c>
      <c r="B6" s="2" t="s">
        <v>7</v>
      </c>
    </row>
    <row r="7" customFormat="false" ht="23.8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12</v>
      </c>
      <c r="B10" s="2"/>
    </row>
    <row r="11" customFormat="false" ht="15" hidden="false" customHeight="false" outlineLevel="0" collapsed="false">
      <c r="A11" s="2" t="s">
        <v>13</v>
      </c>
      <c r="B11" s="2" t="s">
        <v>14</v>
      </c>
    </row>
    <row r="12" customFormat="false" ht="15" hidden="false" customHeight="false" outlineLevel="0" collapsed="false">
      <c r="A12" s="2" t="s">
        <v>15</v>
      </c>
      <c r="B12" s="2" t="s">
        <v>16</v>
      </c>
    </row>
    <row r="13" customFormat="false" ht="15" hidden="false" customHeight="false" outlineLevel="0" collapsed="false">
      <c r="A13" s="2" t="s">
        <v>17</v>
      </c>
      <c r="B13" s="2" t="s">
        <v>18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2" t="s">
        <v>19</v>
      </c>
      <c r="B15" s="2" t="s">
        <v>20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2" t="s">
        <v>21</v>
      </c>
      <c r="B17" s="2" t="n">
        <f aca="false">COUNTA(Backlog!A2:A200)</f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62"/>
    <col collapsed="false" customWidth="true" hidden="false" outlineLevel="0" max="7" min="5" style="0" width="9"/>
    <col collapsed="false" customWidth="true" hidden="false" outlineLevel="0" max="8" min="8" style="0" width="34"/>
    <col collapsed="false" customWidth="true" hidden="false" outlineLevel="0" max="9" min="9" style="0" width="48"/>
    <col collapsed="false" customWidth="true" hidden="false" outlineLevel="0" max="10" min="10" style="0" width="11"/>
  </cols>
  <sheetData>
    <row r="1" customFormat="false" ht="23.8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13</v>
      </c>
      <c r="I1" s="4" t="s">
        <v>29</v>
      </c>
      <c r="J1" s="4" t="s">
        <v>15</v>
      </c>
    </row>
    <row r="2" customFormat="false" ht="23.8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33</v>
      </c>
      <c r="E2" s="6" t="s">
        <v>34</v>
      </c>
      <c r="F2" s="7" t="s">
        <v>35</v>
      </c>
      <c r="G2" s="7" t="s">
        <v>36</v>
      </c>
      <c r="H2" s="5" t="s">
        <v>37</v>
      </c>
      <c r="I2" s="5" t="s">
        <v>38</v>
      </c>
      <c r="J2" s="7" t="s">
        <v>39</v>
      </c>
    </row>
    <row r="3" customFormat="false" ht="23.85" hidden="false" customHeight="false" outlineLevel="0" collapsed="false">
      <c r="A3" s="5" t="s">
        <v>40</v>
      </c>
      <c r="B3" s="5" t="s">
        <v>31</v>
      </c>
      <c r="C3" s="5" t="s">
        <v>41</v>
      </c>
      <c r="D3" s="5" t="s">
        <v>42</v>
      </c>
      <c r="E3" s="6" t="s">
        <v>34</v>
      </c>
      <c r="F3" s="7" t="s">
        <v>35</v>
      </c>
      <c r="G3" s="7" t="s">
        <v>36</v>
      </c>
      <c r="H3" s="5" t="s">
        <v>37</v>
      </c>
      <c r="I3" s="5" t="s">
        <v>43</v>
      </c>
      <c r="J3" s="7" t="s">
        <v>44</v>
      </c>
    </row>
    <row r="4" customFormat="false" ht="23.85" hidden="false" customHeight="false" outlineLevel="0" collapsed="false">
      <c r="A4" s="5" t="s">
        <v>45</v>
      </c>
      <c r="B4" s="5" t="s">
        <v>46</v>
      </c>
      <c r="C4" s="5" t="s">
        <v>47</v>
      </c>
      <c r="D4" s="5" t="s">
        <v>48</v>
      </c>
      <c r="E4" s="6" t="s">
        <v>34</v>
      </c>
      <c r="F4" s="7" t="s">
        <v>35</v>
      </c>
      <c r="G4" s="7" t="s">
        <v>36</v>
      </c>
      <c r="H4" s="5" t="s">
        <v>37</v>
      </c>
      <c r="I4" s="5" t="s">
        <v>43</v>
      </c>
      <c r="J4" s="7" t="s">
        <v>49</v>
      </c>
    </row>
    <row r="5" customFormat="false" ht="15" hidden="false" customHeight="false" outlineLevel="0" collapsed="false">
      <c r="A5" s="5" t="s">
        <v>50</v>
      </c>
      <c r="B5" s="5" t="s">
        <v>51</v>
      </c>
      <c r="C5" s="5" t="s">
        <v>52</v>
      </c>
      <c r="D5" s="5" t="s">
        <v>53</v>
      </c>
      <c r="E5" s="6" t="s">
        <v>34</v>
      </c>
      <c r="F5" s="7" t="s">
        <v>35</v>
      </c>
      <c r="G5" s="7" t="s">
        <v>36</v>
      </c>
      <c r="H5" s="5" t="s">
        <v>37</v>
      </c>
      <c r="I5" s="5" t="s">
        <v>43</v>
      </c>
      <c r="J5" s="7" t="s">
        <v>39</v>
      </c>
    </row>
    <row r="6" customFormat="false" ht="15" hidden="false" customHeight="false" outlineLevel="0" collapsed="false">
      <c r="A6" s="5" t="s">
        <v>54</v>
      </c>
      <c r="B6" s="5" t="s">
        <v>51</v>
      </c>
      <c r="C6" s="5" t="s">
        <v>55</v>
      </c>
      <c r="D6" s="5" t="s">
        <v>56</v>
      </c>
      <c r="E6" s="6" t="s">
        <v>34</v>
      </c>
      <c r="F6" s="7" t="s">
        <v>35</v>
      </c>
      <c r="G6" s="7" t="s">
        <v>36</v>
      </c>
      <c r="H6" s="5" t="s">
        <v>37</v>
      </c>
      <c r="I6" s="5" t="s">
        <v>43</v>
      </c>
      <c r="J6" s="7" t="s">
        <v>57</v>
      </c>
    </row>
    <row r="7" customFormat="false" ht="15" hidden="false" customHeight="false" outlineLevel="0" collapsed="false">
      <c r="A7" s="5" t="s">
        <v>58</v>
      </c>
      <c r="B7" s="5" t="s">
        <v>59</v>
      </c>
      <c r="C7" s="5" t="s">
        <v>60</v>
      </c>
      <c r="D7" s="5" t="s">
        <v>61</v>
      </c>
      <c r="E7" s="6" t="s">
        <v>34</v>
      </c>
      <c r="F7" s="7" t="s">
        <v>35</v>
      </c>
      <c r="G7" s="7" t="s">
        <v>36</v>
      </c>
      <c r="H7" s="5" t="s">
        <v>37</v>
      </c>
      <c r="I7" s="5" t="s">
        <v>43</v>
      </c>
      <c r="J7" s="7" t="s">
        <v>39</v>
      </c>
    </row>
    <row r="8" customFormat="false" ht="23.85" hidden="false" customHeight="false" outlineLevel="0" collapsed="false">
      <c r="A8" s="5" t="s">
        <v>62</v>
      </c>
      <c r="B8" s="5" t="s">
        <v>63</v>
      </c>
      <c r="C8" s="5" t="s">
        <v>64</v>
      </c>
      <c r="D8" s="5" t="s">
        <v>65</v>
      </c>
      <c r="E8" s="6" t="s">
        <v>34</v>
      </c>
      <c r="F8" s="7" t="s">
        <v>35</v>
      </c>
      <c r="G8" s="7" t="s">
        <v>36</v>
      </c>
      <c r="H8" s="5" t="s">
        <v>37</v>
      </c>
      <c r="I8" s="5" t="s">
        <v>66</v>
      </c>
      <c r="J8" s="7" t="s">
        <v>39</v>
      </c>
    </row>
    <row r="9" customFormat="false" ht="15" hidden="false" customHeight="false" outlineLevel="0" collapsed="false">
      <c r="A9" s="5" t="s">
        <v>67</v>
      </c>
      <c r="B9" s="5" t="s">
        <v>31</v>
      </c>
      <c r="C9" s="5" t="s">
        <v>68</v>
      </c>
      <c r="D9" s="5" t="s">
        <v>69</v>
      </c>
      <c r="E9" s="6" t="s">
        <v>34</v>
      </c>
      <c r="F9" s="7" t="s">
        <v>35</v>
      </c>
      <c r="G9" s="7" t="s">
        <v>36</v>
      </c>
      <c r="H9" s="5" t="s">
        <v>37</v>
      </c>
      <c r="I9" s="5" t="s">
        <v>43</v>
      </c>
      <c r="J9" s="7" t="s">
        <v>39</v>
      </c>
    </row>
    <row r="10" customFormat="false" ht="23.85" hidden="false" customHeight="false" outlineLevel="0" collapsed="false">
      <c r="A10" s="5" t="s">
        <v>70</v>
      </c>
      <c r="B10" s="5" t="s">
        <v>71</v>
      </c>
      <c r="C10" s="5" t="s">
        <v>72</v>
      </c>
      <c r="D10" s="5" t="s">
        <v>73</v>
      </c>
      <c r="E10" s="6" t="s">
        <v>34</v>
      </c>
      <c r="F10" s="7" t="s">
        <v>35</v>
      </c>
      <c r="G10" s="7" t="s">
        <v>36</v>
      </c>
      <c r="H10" s="5" t="s">
        <v>37</v>
      </c>
      <c r="I10" s="5" t="s">
        <v>74</v>
      </c>
      <c r="J10" s="7" t="s">
        <v>39</v>
      </c>
    </row>
    <row r="11" customFormat="false" ht="23.85" hidden="false" customHeight="false" outlineLevel="0" collapsed="false">
      <c r="A11" s="5" t="s">
        <v>75</v>
      </c>
      <c r="B11" s="5" t="s">
        <v>76</v>
      </c>
      <c r="C11" s="5" t="s">
        <v>77</v>
      </c>
      <c r="D11" s="5" t="s">
        <v>78</v>
      </c>
      <c r="E11" s="6" t="s">
        <v>34</v>
      </c>
      <c r="F11" s="7" t="s">
        <v>35</v>
      </c>
      <c r="G11" s="7" t="s">
        <v>36</v>
      </c>
      <c r="H11" s="5" t="s">
        <v>37</v>
      </c>
      <c r="I11" s="5" t="s">
        <v>79</v>
      </c>
      <c r="J11" s="7" t="s">
        <v>39</v>
      </c>
    </row>
    <row r="12" customFormat="false" ht="23.85" hidden="false" customHeight="false" outlineLevel="0" collapsed="false">
      <c r="A12" s="5" t="s">
        <v>80</v>
      </c>
      <c r="B12" s="5" t="s">
        <v>51</v>
      </c>
      <c r="C12" s="5" t="s">
        <v>81</v>
      </c>
      <c r="D12" s="5" t="s">
        <v>82</v>
      </c>
      <c r="E12" s="6" t="s">
        <v>34</v>
      </c>
      <c r="F12" s="7" t="s">
        <v>35</v>
      </c>
      <c r="G12" s="7" t="s">
        <v>36</v>
      </c>
      <c r="H12" s="5" t="s">
        <v>83</v>
      </c>
      <c r="I12" s="5" t="s">
        <v>84</v>
      </c>
      <c r="J12" s="7" t="s">
        <v>39</v>
      </c>
    </row>
    <row r="13" customFormat="false" ht="23.85" hidden="false" customHeight="false" outlineLevel="0" collapsed="false">
      <c r="A13" s="5" t="s">
        <v>85</v>
      </c>
      <c r="B13" s="5" t="s">
        <v>86</v>
      </c>
      <c r="C13" s="5" t="s">
        <v>87</v>
      </c>
      <c r="D13" s="5" t="s">
        <v>88</v>
      </c>
      <c r="E13" s="6" t="s">
        <v>34</v>
      </c>
      <c r="F13" s="7" t="s">
        <v>35</v>
      </c>
      <c r="G13" s="7" t="s">
        <v>36</v>
      </c>
      <c r="H13" s="5" t="s">
        <v>89</v>
      </c>
      <c r="I13" s="5" t="s">
        <v>90</v>
      </c>
      <c r="J13" s="7" t="s">
        <v>44</v>
      </c>
    </row>
    <row r="14" customFormat="false" ht="23.85" hidden="false" customHeight="false" outlineLevel="0" collapsed="false">
      <c r="A14" s="5" t="s">
        <v>91</v>
      </c>
      <c r="B14" s="5" t="s">
        <v>86</v>
      </c>
      <c r="C14" s="5" t="s">
        <v>92</v>
      </c>
      <c r="D14" s="5" t="s">
        <v>93</v>
      </c>
      <c r="E14" s="6" t="s">
        <v>34</v>
      </c>
      <c r="F14" s="7" t="s">
        <v>35</v>
      </c>
      <c r="G14" s="7" t="s">
        <v>36</v>
      </c>
      <c r="H14" s="5" t="s">
        <v>89</v>
      </c>
      <c r="I14" s="5" t="s">
        <v>90</v>
      </c>
      <c r="J14" s="7" t="s">
        <v>44</v>
      </c>
    </row>
    <row r="15" customFormat="false" ht="23.85" hidden="false" customHeight="false" outlineLevel="0" collapsed="false">
      <c r="A15" s="5" t="s">
        <v>94</v>
      </c>
      <c r="B15" s="5" t="s">
        <v>31</v>
      </c>
      <c r="C15" s="5" t="s">
        <v>95</v>
      </c>
      <c r="D15" s="5" t="s">
        <v>96</v>
      </c>
      <c r="E15" s="8" t="s">
        <v>97</v>
      </c>
      <c r="F15" s="7" t="s">
        <v>35</v>
      </c>
      <c r="G15" s="7" t="s">
        <v>36</v>
      </c>
      <c r="H15" s="5" t="s">
        <v>98</v>
      </c>
      <c r="I15" s="5" t="s">
        <v>99</v>
      </c>
      <c r="J15" s="7" t="s">
        <v>44</v>
      </c>
    </row>
    <row r="16" customFormat="false" ht="15" hidden="false" customHeight="false" outlineLevel="0" collapsed="false">
      <c r="A16" s="5" t="s">
        <v>100</v>
      </c>
      <c r="B16" s="5" t="s">
        <v>31</v>
      </c>
      <c r="C16" s="5" t="s">
        <v>101</v>
      </c>
      <c r="D16" s="5" t="s">
        <v>102</v>
      </c>
      <c r="E16" s="8" t="s">
        <v>97</v>
      </c>
      <c r="F16" s="7" t="s">
        <v>35</v>
      </c>
      <c r="G16" s="7" t="s">
        <v>103</v>
      </c>
      <c r="H16" s="5" t="s">
        <v>104</v>
      </c>
      <c r="I16" s="5" t="s">
        <v>105</v>
      </c>
      <c r="J16" s="7" t="s">
        <v>44</v>
      </c>
    </row>
    <row r="17" customFormat="false" ht="15" hidden="false" customHeight="false" outlineLevel="0" collapsed="false">
      <c r="A17" s="5" t="s">
        <v>106</v>
      </c>
      <c r="B17" s="5" t="s">
        <v>31</v>
      </c>
      <c r="C17" s="5" t="s">
        <v>107</v>
      </c>
      <c r="D17" s="5" t="s">
        <v>108</v>
      </c>
      <c r="E17" s="8" t="s">
        <v>97</v>
      </c>
      <c r="F17" s="7" t="s">
        <v>109</v>
      </c>
      <c r="G17" s="7" t="s">
        <v>103</v>
      </c>
      <c r="H17" s="5" t="s">
        <v>110</v>
      </c>
      <c r="I17" s="5" t="s">
        <v>111</v>
      </c>
      <c r="J17" s="7" t="s">
        <v>39</v>
      </c>
    </row>
    <row r="18" customFormat="false" ht="23.85" hidden="false" customHeight="false" outlineLevel="0" collapsed="false">
      <c r="A18" s="5" t="s">
        <v>112</v>
      </c>
      <c r="B18" s="5" t="s">
        <v>59</v>
      </c>
      <c r="C18" s="5" t="s">
        <v>113</v>
      </c>
      <c r="D18" s="5" t="s">
        <v>114</v>
      </c>
      <c r="E18" s="8" t="s">
        <v>97</v>
      </c>
      <c r="F18" s="7" t="s">
        <v>35</v>
      </c>
      <c r="G18" s="7" t="s">
        <v>103</v>
      </c>
      <c r="H18" s="5" t="s">
        <v>104</v>
      </c>
      <c r="I18" s="5" t="s">
        <v>115</v>
      </c>
      <c r="J18" s="7" t="s">
        <v>44</v>
      </c>
    </row>
    <row r="19" customFormat="false" ht="15" hidden="false" customHeight="false" outlineLevel="0" collapsed="false">
      <c r="A19" s="5" t="s">
        <v>116</v>
      </c>
      <c r="B19" s="5" t="s">
        <v>59</v>
      </c>
      <c r="C19" s="5" t="s">
        <v>117</v>
      </c>
      <c r="D19" s="5" t="s">
        <v>118</v>
      </c>
      <c r="E19" s="8" t="s">
        <v>97</v>
      </c>
      <c r="F19" s="7" t="s">
        <v>35</v>
      </c>
      <c r="G19" s="7" t="s">
        <v>103</v>
      </c>
      <c r="H19" s="5" t="s">
        <v>119</v>
      </c>
      <c r="I19" s="5" t="s">
        <v>120</v>
      </c>
      <c r="J19" s="7" t="s">
        <v>39</v>
      </c>
    </row>
    <row r="20" customFormat="false" ht="23.85" hidden="false" customHeight="false" outlineLevel="0" collapsed="false">
      <c r="A20" s="5" t="s">
        <v>121</v>
      </c>
      <c r="B20" s="5" t="s">
        <v>71</v>
      </c>
      <c r="C20" s="5" t="s">
        <v>122</v>
      </c>
      <c r="D20" s="5" t="s">
        <v>123</v>
      </c>
      <c r="E20" s="8" t="s">
        <v>97</v>
      </c>
      <c r="F20" s="7" t="s">
        <v>109</v>
      </c>
      <c r="G20" s="7" t="s">
        <v>124</v>
      </c>
      <c r="H20" s="5" t="s">
        <v>104</v>
      </c>
      <c r="I20" s="5" t="s">
        <v>125</v>
      </c>
      <c r="J20" s="7" t="s">
        <v>49</v>
      </c>
    </row>
    <row r="21" customFormat="false" ht="23.85" hidden="false" customHeight="false" outlineLevel="0" collapsed="false">
      <c r="A21" s="5" t="s">
        <v>126</v>
      </c>
      <c r="B21" s="5" t="s">
        <v>71</v>
      </c>
      <c r="C21" s="5" t="s">
        <v>127</v>
      </c>
      <c r="D21" s="5" t="s">
        <v>128</v>
      </c>
      <c r="E21" s="8" t="s">
        <v>97</v>
      </c>
      <c r="F21" s="7" t="s">
        <v>35</v>
      </c>
      <c r="G21" s="7" t="s">
        <v>124</v>
      </c>
      <c r="H21" s="5" t="s">
        <v>129</v>
      </c>
      <c r="I21" s="5" t="s">
        <v>130</v>
      </c>
      <c r="J21" s="7" t="s">
        <v>44</v>
      </c>
    </row>
    <row r="22" customFormat="false" ht="23.85" hidden="false" customHeight="false" outlineLevel="0" collapsed="false">
      <c r="A22" s="5" t="s">
        <v>131</v>
      </c>
      <c r="B22" s="5" t="s">
        <v>71</v>
      </c>
      <c r="C22" s="5" t="s">
        <v>132</v>
      </c>
      <c r="D22" s="5" t="s">
        <v>133</v>
      </c>
      <c r="E22" s="8" t="s">
        <v>97</v>
      </c>
      <c r="F22" s="7" t="s">
        <v>109</v>
      </c>
      <c r="G22" s="7" t="s">
        <v>124</v>
      </c>
      <c r="H22" s="5" t="s">
        <v>134</v>
      </c>
      <c r="I22" s="5" t="s">
        <v>135</v>
      </c>
      <c r="J22" s="7" t="s">
        <v>49</v>
      </c>
    </row>
    <row r="23" customFormat="false" ht="23.85" hidden="false" customHeight="false" outlineLevel="0" collapsed="false">
      <c r="A23" s="5" t="s">
        <v>136</v>
      </c>
      <c r="B23" s="5" t="s">
        <v>137</v>
      </c>
      <c r="C23" s="5" t="s">
        <v>138</v>
      </c>
      <c r="D23" s="5" t="s">
        <v>139</v>
      </c>
      <c r="E23" s="8" t="s">
        <v>97</v>
      </c>
      <c r="F23" s="7" t="s">
        <v>109</v>
      </c>
      <c r="G23" s="7" t="s">
        <v>124</v>
      </c>
      <c r="H23" s="5" t="s">
        <v>140</v>
      </c>
      <c r="I23" s="5" t="s">
        <v>141</v>
      </c>
      <c r="J23" s="7" t="s">
        <v>44</v>
      </c>
    </row>
    <row r="24" customFormat="false" ht="23.85" hidden="false" customHeight="false" outlineLevel="0" collapsed="false">
      <c r="A24" s="5" t="s">
        <v>142</v>
      </c>
      <c r="B24" s="5" t="s">
        <v>143</v>
      </c>
      <c r="C24" s="5" t="s">
        <v>144</v>
      </c>
      <c r="D24" s="5" t="s">
        <v>145</v>
      </c>
      <c r="E24" s="8" t="s">
        <v>97</v>
      </c>
      <c r="F24" s="7" t="s">
        <v>35</v>
      </c>
      <c r="G24" s="7" t="s">
        <v>103</v>
      </c>
      <c r="H24" s="5" t="s">
        <v>146</v>
      </c>
      <c r="I24" s="5" t="s">
        <v>147</v>
      </c>
      <c r="J24" s="7" t="s">
        <v>44</v>
      </c>
    </row>
    <row r="25" customFormat="false" ht="23.85" hidden="false" customHeight="false" outlineLevel="0" collapsed="false">
      <c r="A25" s="5" t="s">
        <v>148</v>
      </c>
      <c r="B25" s="5" t="s">
        <v>63</v>
      </c>
      <c r="C25" s="5" t="s">
        <v>149</v>
      </c>
      <c r="D25" s="5" t="s">
        <v>150</v>
      </c>
      <c r="E25" s="8" t="s">
        <v>97</v>
      </c>
      <c r="F25" s="7" t="s">
        <v>35</v>
      </c>
      <c r="G25" s="7" t="s">
        <v>103</v>
      </c>
      <c r="H25" s="5" t="s">
        <v>104</v>
      </c>
      <c r="I25" s="5" t="s">
        <v>120</v>
      </c>
      <c r="J25" s="7" t="s">
        <v>44</v>
      </c>
    </row>
    <row r="26" customFormat="false" ht="23.85" hidden="false" customHeight="false" outlineLevel="0" collapsed="false">
      <c r="A26" s="5" t="s">
        <v>151</v>
      </c>
      <c r="B26" s="5" t="s">
        <v>63</v>
      </c>
      <c r="C26" s="5" t="s">
        <v>152</v>
      </c>
      <c r="D26" s="5" t="s">
        <v>153</v>
      </c>
      <c r="E26" s="8" t="s">
        <v>97</v>
      </c>
      <c r="F26" s="7" t="s">
        <v>35</v>
      </c>
      <c r="G26" s="7" t="s">
        <v>103</v>
      </c>
      <c r="H26" s="5" t="s">
        <v>154</v>
      </c>
      <c r="I26" s="5" t="s">
        <v>155</v>
      </c>
      <c r="J26" s="7" t="s">
        <v>44</v>
      </c>
    </row>
    <row r="27" customFormat="false" ht="15" hidden="false" customHeight="false" outlineLevel="0" collapsed="false">
      <c r="A27" s="5" t="s">
        <v>156</v>
      </c>
      <c r="B27" s="5" t="s">
        <v>31</v>
      </c>
      <c r="C27" s="5" t="s">
        <v>157</v>
      </c>
      <c r="D27" s="5" t="s">
        <v>158</v>
      </c>
      <c r="E27" s="8" t="s">
        <v>97</v>
      </c>
      <c r="F27" s="7" t="s">
        <v>109</v>
      </c>
      <c r="G27" s="7" t="s">
        <v>103</v>
      </c>
      <c r="H27" s="5" t="s">
        <v>159</v>
      </c>
      <c r="I27" s="5" t="s">
        <v>160</v>
      </c>
      <c r="J27" s="7" t="s">
        <v>39</v>
      </c>
    </row>
    <row r="28" customFormat="false" ht="15" hidden="false" customHeight="false" outlineLevel="0" collapsed="false">
      <c r="A28" s="5" t="s">
        <v>161</v>
      </c>
      <c r="B28" s="5" t="s">
        <v>63</v>
      </c>
      <c r="C28" s="5" t="s">
        <v>162</v>
      </c>
      <c r="D28" s="5" t="s">
        <v>163</v>
      </c>
      <c r="E28" s="8" t="s">
        <v>97</v>
      </c>
      <c r="F28" s="7" t="s">
        <v>109</v>
      </c>
      <c r="G28" s="7" t="s">
        <v>103</v>
      </c>
      <c r="H28" s="5" t="s">
        <v>164</v>
      </c>
      <c r="I28" s="5" t="s">
        <v>165</v>
      </c>
      <c r="J28" s="7" t="s">
        <v>44</v>
      </c>
    </row>
    <row r="29" customFormat="false" ht="23.85" hidden="false" customHeight="false" outlineLevel="0" collapsed="false">
      <c r="A29" s="5" t="s">
        <v>166</v>
      </c>
      <c r="B29" s="5" t="s">
        <v>143</v>
      </c>
      <c r="C29" s="5" t="s">
        <v>167</v>
      </c>
      <c r="D29" s="5" t="s">
        <v>168</v>
      </c>
      <c r="E29" s="8" t="s">
        <v>97</v>
      </c>
      <c r="F29" s="7" t="s">
        <v>109</v>
      </c>
      <c r="G29" s="7" t="s">
        <v>124</v>
      </c>
      <c r="H29" s="5" t="s">
        <v>169</v>
      </c>
      <c r="I29" s="5" t="s">
        <v>170</v>
      </c>
      <c r="J29" s="7" t="s">
        <v>44</v>
      </c>
    </row>
    <row r="30" customFormat="false" ht="23.85" hidden="false" customHeight="false" outlineLevel="0" collapsed="false">
      <c r="A30" s="5" t="s">
        <v>171</v>
      </c>
      <c r="B30" s="5" t="s">
        <v>63</v>
      </c>
      <c r="C30" s="5" t="s">
        <v>172</v>
      </c>
      <c r="D30" s="5" t="s">
        <v>173</v>
      </c>
      <c r="E30" s="8" t="s">
        <v>97</v>
      </c>
      <c r="F30" s="7" t="s">
        <v>35</v>
      </c>
      <c r="G30" s="7" t="s">
        <v>103</v>
      </c>
      <c r="H30" s="5" t="s">
        <v>174</v>
      </c>
      <c r="I30" s="5" t="s">
        <v>175</v>
      </c>
      <c r="J30" s="7" t="s">
        <v>44</v>
      </c>
    </row>
    <row r="31" customFormat="false" ht="23.85" hidden="false" customHeight="false" outlineLevel="0" collapsed="false">
      <c r="A31" s="5" t="s">
        <v>176</v>
      </c>
      <c r="B31" s="5" t="s">
        <v>71</v>
      </c>
      <c r="C31" s="5" t="s">
        <v>177</v>
      </c>
      <c r="D31" s="5" t="s">
        <v>178</v>
      </c>
      <c r="E31" s="8" t="s">
        <v>97</v>
      </c>
      <c r="F31" s="7" t="s">
        <v>35</v>
      </c>
      <c r="G31" s="7" t="s">
        <v>124</v>
      </c>
      <c r="H31" s="5" t="s">
        <v>179</v>
      </c>
      <c r="I31" s="5" t="s">
        <v>180</v>
      </c>
      <c r="J31" s="7" t="s">
        <v>44</v>
      </c>
    </row>
    <row r="32" customFormat="false" ht="23.85" hidden="false" customHeight="false" outlineLevel="0" collapsed="false">
      <c r="A32" s="5" t="s">
        <v>181</v>
      </c>
      <c r="B32" s="5" t="s">
        <v>71</v>
      </c>
      <c r="C32" s="5" t="s">
        <v>182</v>
      </c>
      <c r="D32" s="5" t="s">
        <v>183</v>
      </c>
      <c r="E32" s="8" t="s">
        <v>97</v>
      </c>
      <c r="F32" s="7" t="s">
        <v>35</v>
      </c>
      <c r="G32" s="7" t="s">
        <v>36</v>
      </c>
      <c r="H32" s="5" t="s">
        <v>184</v>
      </c>
      <c r="I32" s="5" t="s">
        <v>185</v>
      </c>
      <c r="J32" s="7" t="s">
        <v>39</v>
      </c>
    </row>
    <row r="33" customFormat="false" ht="23.85" hidden="false" customHeight="false" outlineLevel="0" collapsed="false">
      <c r="A33" s="5" t="s">
        <v>186</v>
      </c>
      <c r="B33" s="5" t="s">
        <v>71</v>
      </c>
      <c r="C33" s="5" t="s">
        <v>187</v>
      </c>
      <c r="D33" s="5" t="s">
        <v>188</v>
      </c>
      <c r="E33" s="8" t="s">
        <v>97</v>
      </c>
      <c r="F33" s="7" t="s">
        <v>35</v>
      </c>
      <c r="G33" s="7" t="s">
        <v>124</v>
      </c>
      <c r="H33" s="5" t="s">
        <v>189</v>
      </c>
      <c r="I33" s="5" t="s">
        <v>190</v>
      </c>
      <c r="J33" s="7" t="s">
        <v>39</v>
      </c>
    </row>
    <row r="34" customFormat="false" ht="23.85" hidden="false" customHeight="false" outlineLevel="0" collapsed="false">
      <c r="A34" s="5" t="s">
        <v>191</v>
      </c>
      <c r="B34" s="5" t="s">
        <v>76</v>
      </c>
      <c r="C34" s="5" t="s">
        <v>192</v>
      </c>
      <c r="D34" s="5" t="s">
        <v>193</v>
      </c>
      <c r="E34" s="8" t="s">
        <v>97</v>
      </c>
      <c r="F34" s="7" t="s">
        <v>35</v>
      </c>
      <c r="G34" s="7" t="s">
        <v>103</v>
      </c>
      <c r="H34" s="5" t="s">
        <v>194</v>
      </c>
      <c r="I34" s="5" t="s">
        <v>195</v>
      </c>
      <c r="J34" s="7" t="s">
        <v>39</v>
      </c>
    </row>
    <row r="35" customFormat="false" ht="23.85" hidden="false" customHeight="false" outlineLevel="0" collapsed="false">
      <c r="A35" s="5" t="s">
        <v>196</v>
      </c>
      <c r="B35" s="5" t="s">
        <v>63</v>
      </c>
      <c r="C35" s="5" t="s">
        <v>197</v>
      </c>
      <c r="D35" s="5" t="s">
        <v>198</v>
      </c>
      <c r="E35" s="8" t="s">
        <v>97</v>
      </c>
      <c r="F35" s="7" t="s">
        <v>35</v>
      </c>
      <c r="G35" s="7" t="s">
        <v>103</v>
      </c>
      <c r="H35" s="5" t="s">
        <v>199</v>
      </c>
      <c r="I35" s="5" t="s">
        <v>200</v>
      </c>
      <c r="J35" s="7" t="s">
        <v>44</v>
      </c>
    </row>
    <row r="36" customFormat="false" ht="23.85" hidden="false" customHeight="false" outlineLevel="0" collapsed="false">
      <c r="A36" s="5" t="s">
        <v>201</v>
      </c>
      <c r="B36" s="5" t="s">
        <v>63</v>
      </c>
      <c r="C36" s="5" t="s">
        <v>202</v>
      </c>
      <c r="D36" s="5" t="s">
        <v>203</v>
      </c>
      <c r="E36" s="8" t="s">
        <v>97</v>
      </c>
      <c r="F36" s="7" t="s">
        <v>35</v>
      </c>
      <c r="G36" s="7" t="s">
        <v>103</v>
      </c>
      <c r="H36" s="5" t="s">
        <v>204</v>
      </c>
      <c r="I36" s="5" t="s">
        <v>185</v>
      </c>
      <c r="J36" s="7" t="s">
        <v>39</v>
      </c>
    </row>
    <row r="37" customFormat="false" ht="23.85" hidden="false" customHeight="false" outlineLevel="0" collapsed="false">
      <c r="A37" s="5" t="s">
        <v>205</v>
      </c>
      <c r="B37" s="5" t="s">
        <v>86</v>
      </c>
      <c r="C37" s="5" t="s">
        <v>206</v>
      </c>
      <c r="D37" s="5" t="s">
        <v>207</v>
      </c>
      <c r="E37" s="8" t="s">
        <v>97</v>
      </c>
      <c r="F37" s="7" t="s">
        <v>35</v>
      </c>
      <c r="G37" s="7" t="s">
        <v>36</v>
      </c>
      <c r="H37" s="5" t="s">
        <v>208</v>
      </c>
      <c r="I37" s="5" t="s">
        <v>209</v>
      </c>
      <c r="J37" s="7" t="s">
        <v>44</v>
      </c>
    </row>
    <row r="38" customFormat="false" ht="23.85" hidden="false" customHeight="false" outlineLevel="0" collapsed="false">
      <c r="A38" s="5" t="s">
        <v>210</v>
      </c>
      <c r="B38" s="5" t="s">
        <v>86</v>
      </c>
      <c r="C38" s="5" t="s">
        <v>211</v>
      </c>
      <c r="D38" s="5" t="s">
        <v>212</v>
      </c>
      <c r="E38" s="8" t="s">
        <v>97</v>
      </c>
      <c r="F38" s="7" t="s">
        <v>109</v>
      </c>
      <c r="G38" s="7" t="s">
        <v>103</v>
      </c>
      <c r="H38" s="5" t="s">
        <v>213</v>
      </c>
      <c r="I38" s="5" t="s">
        <v>214</v>
      </c>
      <c r="J38" s="7" t="s">
        <v>49</v>
      </c>
    </row>
    <row r="39" customFormat="false" ht="15" hidden="false" customHeight="false" outlineLevel="0" collapsed="false">
      <c r="A39" s="5" t="s">
        <v>215</v>
      </c>
      <c r="B39" s="5" t="s">
        <v>86</v>
      </c>
      <c r="C39" s="5" t="s">
        <v>216</v>
      </c>
      <c r="D39" s="5" t="s">
        <v>217</v>
      </c>
      <c r="E39" s="8" t="s">
        <v>97</v>
      </c>
      <c r="F39" s="7" t="s">
        <v>109</v>
      </c>
      <c r="G39" s="7" t="s">
        <v>103</v>
      </c>
      <c r="H39" s="5" t="s">
        <v>218</v>
      </c>
      <c r="I39" s="5" t="s">
        <v>219</v>
      </c>
      <c r="J39" s="7" t="s">
        <v>39</v>
      </c>
    </row>
    <row r="40" customFormat="false" ht="15" hidden="false" customHeight="false" outlineLevel="0" collapsed="false">
      <c r="A40" s="5" t="s">
        <v>220</v>
      </c>
      <c r="B40" s="5" t="s">
        <v>221</v>
      </c>
      <c r="C40" s="5" t="s">
        <v>222</v>
      </c>
      <c r="D40" s="5" t="s">
        <v>223</v>
      </c>
      <c r="E40" s="8" t="s">
        <v>97</v>
      </c>
      <c r="F40" s="7" t="s">
        <v>109</v>
      </c>
      <c r="G40" s="7" t="s">
        <v>124</v>
      </c>
      <c r="H40" s="5" t="s">
        <v>224</v>
      </c>
      <c r="I40" s="5" t="s">
        <v>225</v>
      </c>
      <c r="J40" s="7" t="s">
        <v>44</v>
      </c>
    </row>
    <row r="41" customFormat="false" ht="15" hidden="false" customHeight="false" outlineLevel="0" collapsed="false">
      <c r="A41" s="5" t="s">
        <v>226</v>
      </c>
      <c r="B41" s="5" t="s">
        <v>59</v>
      </c>
      <c r="C41" s="5" t="s">
        <v>227</v>
      </c>
      <c r="D41" s="5" t="s">
        <v>228</v>
      </c>
      <c r="E41" s="8" t="s">
        <v>97</v>
      </c>
      <c r="F41" s="7" t="s">
        <v>109</v>
      </c>
      <c r="G41" s="7" t="s">
        <v>103</v>
      </c>
      <c r="H41" s="5" t="s">
        <v>229</v>
      </c>
      <c r="I41" s="5" t="s">
        <v>230</v>
      </c>
      <c r="J41" s="7" t="s">
        <v>39</v>
      </c>
    </row>
    <row r="42" customFormat="false" ht="23.85" hidden="false" customHeight="false" outlineLevel="0" collapsed="false">
      <c r="A42" s="5" t="s">
        <v>231</v>
      </c>
      <c r="B42" s="5" t="s">
        <v>232</v>
      </c>
      <c r="C42" s="5" t="s">
        <v>233</v>
      </c>
      <c r="D42" s="5" t="s">
        <v>234</v>
      </c>
      <c r="E42" s="9" t="s">
        <v>235</v>
      </c>
      <c r="F42" s="7" t="s">
        <v>236</v>
      </c>
      <c r="G42" s="7" t="s">
        <v>124</v>
      </c>
      <c r="H42" s="5" t="s">
        <v>237</v>
      </c>
      <c r="I42" s="5" t="s">
        <v>238</v>
      </c>
      <c r="J42" s="7" t="s">
        <v>49</v>
      </c>
    </row>
    <row r="43" customFormat="false" ht="23.85" hidden="false" customHeight="false" outlineLevel="0" collapsed="false">
      <c r="A43" s="5" t="s">
        <v>239</v>
      </c>
      <c r="B43" s="5" t="s">
        <v>232</v>
      </c>
      <c r="C43" s="5" t="s">
        <v>240</v>
      </c>
      <c r="D43" s="5" t="s">
        <v>241</v>
      </c>
      <c r="E43" s="9" t="s">
        <v>235</v>
      </c>
      <c r="F43" s="7" t="s">
        <v>236</v>
      </c>
      <c r="G43" s="7" t="s">
        <v>124</v>
      </c>
      <c r="H43" s="5" t="s">
        <v>237</v>
      </c>
      <c r="I43" s="5" t="s">
        <v>242</v>
      </c>
      <c r="J43" s="7" t="s">
        <v>39</v>
      </c>
    </row>
    <row r="44" customFormat="false" ht="23.85" hidden="false" customHeight="false" outlineLevel="0" collapsed="false">
      <c r="A44" s="5" t="s">
        <v>243</v>
      </c>
      <c r="B44" s="5" t="s">
        <v>232</v>
      </c>
      <c r="C44" s="5" t="s">
        <v>244</v>
      </c>
      <c r="D44" s="5" t="s">
        <v>245</v>
      </c>
      <c r="E44" s="9" t="s">
        <v>235</v>
      </c>
      <c r="F44" s="7" t="s">
        <v>236</v>
      </c>
      <c r="G44" s="7" t="s">
        <v>124</v>
      </c>
      <c r="H44" s="5" t="s">
        <v>246</v>
      </c>
      <c r="I44" s="5" t="s">
        <v>247</v>
      </c>
      <c r="J44" s="7" t="s">
        <v>44</v>
      </c>
    </row>
    <row r="45" customFormat="false" ht="23.85" hidden="false" customHeight="false" outlineLevel="0" collapsed="false">
      <c r="A45" s="5" t="s">
        <v>248</v>
      </c>
      <c r="B45" s="5" t="s">
        <v>232</v>
      </c>
      <c r="C45" s="5" t="s">
        <v>249</v>
      </c>
      <c r="D45" s="5" t="s">
        <v>250</v>
      </c>
      <c r="E45" s="9" t="s">
        <v>235</v>
      </c>
      <c r="F45" s="7" t="s">
        <v>236</v>
      </c>
      <c r="G45" s="7" t="s">
        <v>124</v>
      </c>
      <c r="H45" s="5" t="s">
        <v>251</v>
      </c>
      <c r="I45" s="5" t="s">
        <v>252</v>
      </c>
      <c r="J45" s="7" t="s">
        <v>49</v>
      </c>
    </row>
    <row r="46" customFormat="false" ht="23.85" hidden="false" customHeight="false" outlineLevel="0" collapsed="false">
      <c r="A46" s="5" t="s">
        <v>253</v>
      </c>
      <c r="B46" s="5" t="s">
        <v>137</v>
      </c>
      <c r="C46" s="5" t="s">
        <v>254</v>
      </c>
      <c r="D46" s="5" t="s">
        <v>255</v>
      </c>
      <c r="E46" s="9" t="s">
        <v>235</v>
      </c>
      <c r="F46" s="7" t="s">
        <v>236</v>
      </c>
      <c r="G46" s="7" t="s">
        <v>124</v>
      </c>
      <c r="H46" s="5" t="s">
        <v>256</v>
      </c>
      <c r="I46" s="5" t="s">
        <v>257</v>
      </c>
      <c r="J46" s="7" t="s">
        <v>44</v>
      </c>
    </row>
    <row r="47" customFormat="false" ht="23.85" hidden="false" customHeight="false" outlineLevel="0" collapsed="false">
      <c r="A47" s="5" t="s">
        <v>258</v>
      </c>
      <c r="B47" s="5" t="s">
        <v>137</v>
      </c>
      <c r="C47" s="5" t="s">
        <v>259</v>
      </c>
      <c r="D47" s="5" t="s">
        <v>260</v>
      </c>
      <c r="E47" s="9" t="s">
        <v>235</v>
      </c>
      <c r="F47" s="7" t="s">
        <v>236</v>
      </c>
      <c r="G47" s="7" t="s">
        <v>124</v>
      </c>
      <c r="H47" s="5" t="s">
        <v>237</v>
      </c>
      <c r="I47" s="5" t="s">
        <v>261</v>
      </c>
      <c r="J47" s="7" t="s">
        <v>39</v>
      </c>
    </row>
    <row r="48" customFormat="false" ht="23.85" hidden="false" customHeight="false" outlineLevel="0" collapsed="false">
      <c r="A48" s="5" t="s">
        <v>262</v>
      </c>
      <c r="B48" s="5" t="s">
        <v>263</v>
      </c>
      <c r="C48" s="5" t="s">
        <v>264</v>
      </c>
      <c r="D48" s="5" t="s">
        <v>265</v>
      </c>
      <c r="E48" s="9" t="s">
        <v>235</v>
      </c>
      <c r="F48" s="7" t="s">
        <v>236</v>
      </c>
      <c r="G48" s="7" t="s">
        <v>266</v>
      </c>
      <c r="H48" s="5" t="s">
        <v>267</v>
      </c>
      <c r="I48" s="5" t="s">
        <v>268</v>
      </c>
      <c r="J48" s="7" t="s">
        <v>49</v>
      </c>
    </row>
    <row r="49" customFormat="false" ht="15" hidden="false" customHeight="false" outlineLevel="0" collapsed="false">
      <c r="A49" s="5" t="s">
        <v>269</v>
      </c>
      <c r="B49" s="5" t="s">
        <v>263</v>
      </c>
      <c r="C49" s="5" t="s">
        <v>270</v>
      </c>
      <c r="D49" s="5" t="s">
        <v>271</v>
      </c>
      <c r="E49" s="9" t="s">
        <v>235</v>
      </c>
      <c r="F49" s="7" t="s">
        <v>236</v>
      </c>
      <c r="G49" s="7" t="s">
        <v>266</v>
      </c>
      <c r="H49" s="5" t="s">
        <v>272</v>
      </c>
      <c r="I49" s="5" t="s">
        <v>273</v>
      </c>
      <c r="J49" s="7" t="s">
        <v>49</v>
      </c>
    </row>
    <row r="50" customFormat="false" ht="23.85" hidden="false" customHeight="false" outlineLevel="0" collapsed="false">
      <c r="A50" s="5" t="s">
        <v>274</v>
      </c>
      <c r="B50" s="5" t="s">
        <v>263</v>
      </c>
      <c r="C50" s="5" t="s">
        <v>275</v>
      </c>
      <c r="D50" s="5" t="s">
        <v>276</v>
      </c>
      <c r="E50" s="9" t="s">
        <v>235</v>
      </c>
      <c r="F50" s="7" t="s">
        <v>236</v>
      </c>
      <c r="G50" s="7" t="s">
        <v>266</v>
      </c>
      <c r="H50" s="5" t="s">
        <v>267</v>
      </c>
      <c r="I50" s="5" t="s">
        <v>277</v>
      </c>
      <c r="J50" s="7" t="s">
        <v>49</v>
      </c>
    </row>
    <row r="51" customFormat="false" ht="23.85" hidden="false" customHeight="false" outlineLevel="0" collapsed="false">
      <c r="A51" s="5" t="s">
        <v>278</v>
      </c>
      <c r="B51" s="5" t="s">
        <v>46</v>
      </c>
      <c r="C51" s="5" t="s">
        <v>279</v>
      </c>
      <c r="D51" s="5" t="s">
        <v>280</v>
      </c>
      <c r="E51" s="9" t="s">
        <v>235</v>
      </c>
      <c r="F51" s="7" t="s">
        <v>236</v>
      </c>
      <c r="G51" s="7" t="s">
        <v>266</v>
      </c>
      <c r="H51" s="5" t="s">
        <v>281</v>
      </c>
      <c r="I51" s="5" t="s">
        <v>282</v>
      </c>
      <c r="J51" s="7" t="s">
        <v>49</v>
      </c>
    </row>
    <row r="52" customFormat="false" ht="23.85" hidden="false" customHeight="false" outlineLevel="0" collapsed="false">
      <c r="A52" s="5" t="s">
        <v>283</v>
      </c>
      <c r="B52" s="5" t="s">
        <v>221</v>
      </c>
      <c r="C52" s="5" t="s">
        <v>284</v>
      </c>
      <c r="D52" s="5" t="s">
        <v>285</v>
      </c>
      <c r="E52" s="9" t="s">
        <v>235</v>
      </c>
      <c r="F52" s="7" t="s">
        <v>236</v>
      </c>
      <c r="G52" s="7" t="s">
        <v>124</v>
      </c>
      <c r="H52" s="5" t="s">
        <v>286</v>
      </c>
      <c r="I52" s="5" t="s">
        <v>287</v>
      </c>
      <c r="J52" s="7" t="s">
        <v>44</v>
      </c>
    </row>
    <row r="53" customFormat="false" ht="23.85" hidden="false" customHeight="false" outlineLevel="0" collapsed="false">
      <c r="A53" s="5" t="s">
        <v>288</v>
      </c>
      <c r="B53" s="5" t="s">
        <v>221</v>
      </c>
      <c r="C53" s="5" t="s">
        <v>289</v>
      </c>
      <c r="D53" s="5" t="s">
        <v>290</v>
      </c>
      <c r="E53" s="9" t="s">
        <v>235</v>
      </c>
      <c r="F53" s="7" t="s">
        <v>236</v>
      </c>
      <c r="G53" s="7" t="s">
        <v>124</v>
      </c>
      <c r="H53" s="5" t="s">
        <v>291</v>
      </c>
      <c r="I53" s="5" t="s">
        <v>292</v>
      </c>
      <c r="J53" s="7" t="s">
        <v>44</v>
      </c>
    </row>
    <row r="54" customFormat="false" ht="23.85" hidden="false" customHeight="false" outlineLevel="0" collapsed="false">
      <c r="A54" s="5" t="s">
        <v>293</v>
      </c>
      <c r="B54" s="5" t="s">
        <v>71</v>
      </c>
      <c r="C54" s="5" t="s">
        <v>294</v>
      </c>
      <c r="D54" s="5" t="s">
        <v>295</v>
      </c>
      <c r="E54" s="9" t="s">
        <v>235</v>
      </c>
      <c r="F54" s="7" t="s">
        <v>236</v>
      </c>
      <c r="G54" s="7" t="s">
        <v>266</v>
      </c>
      <c r="H54" s="5" t="s">
        <v>291</v>
      </c>
      <c r="I54" s="5" t="s">
        <v>287</v>
      </c>
      <c r="J54" s="7" t="s">
        <v>44</v>
      </c>
    </row>
    <row r="55" customFormat="false" ht="23.85" hidden="false" customHeight="false" outlineLevel="0" collapsed="false">
      <c r="A55" s="5" t="s">
        <v>296</v>
      </c>
      <c r="B55" s="5" t="s">
        <v>71</v>
      </c>
      <c r="C55" s="5" t="s">
        <v>297</v>
      </c>
      <c r="D55" s="5" t="s">
        <v>298</v>
      </c>
      <c r="E55" s="9" t="s">
        <v>235</v>
      </c>
      <c r="F55" s="7" t="s">
        <v>236</v>
      </c>
      <c r="G55" s="7" t="s">
        <v>266</v>
      </c>
      <c r="H55" s="5" t="s">
        <v>299</v>
      </c>
      <c r="I55" s="5" t="s">
        <v>300</v>
      </c>
      <c r="J55" s="7" t="s">
        <v>49</v>
      </c>
    </row>
    <row r="56" customFormat="false" ht="23.85" hidden="false" customHeight="false" outlineLevel="0" collapsed="false">
      <c r="A56" s="5" t="s">
        <v>301</v>
      </c>
      <c r="B56" s="5" t="s">
        <v>71</v>
      </c>
      <c r="C56" s="5" t="s">
        <v>302</v>
      </c>
      <c r="D56" s="5" t="s">
        <v>303</v>
      </c>
      <c r="E56" s="9" t="s">
        <v>235</v>
      </c>
      <c r="F56" s="7" t="s">
        <v>236</v>
      </c>
      <c r="G56" s="7" t="s">
        <v>266</v>
      </c>
      <c r="H56" s="5" t="s">
        <v>299</v>
      </c>
      <c r="I56" s="5" t="s">
        <v>304</v>
      </c>
      <c r="J56" s="7" t="s">
        <v>44</v>
      </c>
    </row>
    <row r="57" customFormat="false" ht="23.85" hidden="false" customHeight="false" outlineLevel="0" collapsed="false">
      <c r="A57" s="5" t="s">
        <v>305</v>
      </c>
      <c r="B57" s="5" t="s">
        <v>71</v>
      </c>
      <c r="C57" s="5" t="s">
        <v>306</v>
      </c>
      <c r="D57" s="5" t="s">
        <v>307</v>
      </c>
      <c r="E57" s="9" t="s">
        <v>235</v>
      </c>
      <c r="F57" s="7" t="s">
        <v>236</v>
      </c>
      <c r="G57" s="7" t="s">
        <v>266</v>
      </c>
      <c r="H57" s="5" t="s">
        <v>308</v>
      </c>
      <c r="I57" s="5" t="s">
        <v>309</v>
      </c>
      <c r="J57" s="7" t="s">
        <v>49</v>
      </c>
    </row>
    <row r="58" customFormat="false" ht="23.85" hidden="false" customHeight="false" outlineLevel="0" collapsed="false">
      <c r="A58" s="5" t="s">
        <v>310</v>
      </c>
      <c r="B58" s="5" t="s">
        <v>71</v>
      </c>
      <c r="C58" s="5" t="s">
        <v>311</v>
      </c>
      <c r="D58" s="5" t="s">
        <v>312</v>
      </c>
      <c r="E58" s="9" t="s">
        <v>235</v>
      </c>
      <c r="F58" s="7" t="s">
        <v>236</v>
      </c>
      <c r="G58" s="7" t="s">
        <v>266</v>
      </c>
      <c r="H58" s="5" t="s">
        <v>251</v>
      </c>
      <c r="I58" s="5" t="s">
        <v>313</v>
      </c>
      <c r="J58" s="7" t="s">
        <v>44</v>
      </c>
    </row>
    <row r="59" customFormat="false" ht="23.85" hidden="false" customHeight="false" outlineLevel="0" collapsed="false">
      <c r="A59" s="5" t="s">
        <v>314</v>
      </c>
      <c r="B59" s="5" t="s">
        <v>51</v>
      </c>
      <c r="C59" s="5" t="s">
        <v>315</v>
      </c>
      <c r="D59" s="5" t="s">
        <v>316</v>
      </c>
      <c r="E59" s="9" t="s">
        <v>235</v>
      </c>
      <c r="F59" s="7" t="s">
        <v>236</v>
      </c>
      <c r="G59" s="7" t="s">
        <v>266</v>
      </c>
      <c r="H59" s="5" t="s">
        <v>251</v>
      </c>
      <c r="I59" s="5" t="s">
        <v>313</v>
      </c>
      <c r="J59" s="7" t="s">
        <v>44</v>
      </c>
    </row>
    <row r="60" customFormat="false" ht="23.85" hidden="false" customHeight="false" outlineLevel="0" collapsed="false">
      <c r="A60" s="5" t="s">
        <v>317</v>
      </c>
      <c r="B60" s="5" t="s">
        <v>51</v>
      </c>
      <c r="C60" s="5" t="s">
        <v>318</v>
      </c>
      <c r="D60" s="5" t="s">
        <v>319</v>
      </c>
      <c r="E60" s="9" t="s">
        <v>235</v>
      </c>
      <c r="F60" s="7" t="s">
        <v>236</v>
      </c>
      <c r="G60" s="7" t="s">
        <v>266</v>
      </c>
      <c r="H60" s="5" t="s">
        <v>320</v>
      </c>
      <c r="I60" s="5" t="s">
        <v>321</v>
      </c>
      <c r="J60" s="7" t="s">
        <v>49</v>
      </c>
    </row>
    <row r="61" customFormat="false" ht="23.85" hidden="false" customHeight="false" outlineLevel="0" collapsed="false">
      <c r="A61" s="5" t="s">
        <v>322</v>
      </c>
      <c r="B61" s="5" t="s">
        <v>137</v>
      </c>
      <c r="C61" s="5" t="s">
        <v>323</v>
      </c>
      <c r="D61" s="5" t="s">
        <v>324</v>
      </c>
      <c r="E61" s="9" t="s">
        <v>235</v>
      </c>
      <c r="F61" s="7" t="s">
        <v>236</v>
      </c>
      <c r="G61" s="7" t="s">
        <v>124</v>
      </c>
      <c r="H61" s="5" t="s">
        <v>325</v>
      </c>
      <c r="I61" s="5" t="s">
        <v>326</v>
      </c>
      <c r="J61" s="7" t="s">
        <v>39</v>
      </c>
    </row>
    <row r="62" customFormat="false" ht="23.85" hidden="false" customHeight="false" outlineLevel="0" collapsed="false">
      <c r="A62" s="5" t="s">
        <v>327</v>
      </c>
      <c r="B62" s="5" t="s">
        <v>137</v>
      </c>
      <c r="C62" s="5" t="s">
        <v>328</v>
      </c>
      <c r="D62" s="5" t="s">
        <v>329</v>
      </c>
      <c r="E62" s="9" t="s">
        <v>235</v>
      </c>
      <c r="F62" s="7" t="s">
        <v>236</v>
      </c>
      <c r="G62" s="7" t="s">
        <v>266</v>
      </c>
      <c r="H62" s="5" t="s">
        <v>330</v>
      </c>
      <c r="I62" s="5" t="s">
        <v>261</v>
      </c>
      <c r="J62" s="7" t="s">
        <v>49</v>
      </c>
    </row>
    <row r="63" customFormat="false" ht="15" hidden="false" customHeight="false" outlineLevel="0" collapsed="false">
      <c r="A63" s="5" t="s">
        <v>331</v>
      </c>
      <c r="B63" s="5" t="s">
        <v>221</v>
      </c>
      <c r="C63" s="5" t="s">
        <v>332</v>
      </c>
      <c r="D63" s="5" t="s">
        <v>333</v>
      </c>
      <c r="E63" s="9" t="s">
        <v>235</v>
      </c>
      <c r="F63" s="7" t="s">
        <v>236</v>
      </c>
      <c r="G63" s="7" t="s">
        <v>266</v>
      </c>
      <c r="H63" s="5" t="s">
        <v>291</v>
      </c>
      <c r="I63" s="5" t="s">
        <v>287</v>
      </c>
      <c r="J63" s="7" t="s">
        <v>44</v>
      </c>
    </row>
    <row r="64" customFormat="false" ht="23.85" hidden="false" customHeight="false" outlineLevel="0" collapsed="false">
      <c r="A64" s="5" t="s">
        <v>334</v>
      </c>
      <c r="B64" s="5" t="s">
        <v>76</v>
      </c>
      <c r="C64" s="5" t="s">
        <v>335</v>
      </c>
      <c r="D64" s="5" t="s">
        <v>336</v>
      </c>
      <c r="E64" s="9" t="s">
        <v>235</v>
      </c>
      <c r="F64" s="7" t="s">
        <v>236</v>
      </c>
      <c r="G64" s="7" t="s">
        <v>124</v>
      </c>
      <c r="H64" s="5" t="s">
        <v>267</v>
      </c>
      <c r="I64" s="5" t="s">
        <v>337</v>
      </c>
      <c r="J64" s="7" t="s">
        <v>39</v>
      </c>
    </row>
    <row r="65" customFormat="false" ht="23.85" hidden="false" customHeight="false" outlineLevel="0" collapsed="false">
      <c r="A65" s="5" t="s">
        <v>338</v>
      </c>
      <c r="B65" s="5" t="s">
        <v>63</v>
      </c>
      <c r="C65" s="5" t="s">
        <v>339</v>
      </c>
      <c r="D65" s="5" t="s">
        <v>340</v>
      </c>
      <c r="E65" s="9" t="s">
        <v>235</v>
      </c>
      <c r="F65" s="7" t="s">
        <v>236</v>
      </c>
      <c r="G65" s="7" t="s">
        <v>266</v>
      </c>
      <c r="H65" s="5" t="s">
        <v>251</v>
      </c>
      <c r="I65" s="5" t="s">
        <v>341</v>
      </c>
      <c r="J65" s="7" t="s">
        <v>44</v>
      </c>
    </row>
    <row r="66" customFormat="false" ht="23.85" hidden="false" customHeight="false" outlineLevel="0" collapsed="false">
      <c r="A66" s="5" t="s">
        <v>342</v>
      </c>
      <c r="B66" s="5" t="s">
        <v>86</v>
      </c>
      <c r="C66" s="5" t="s">
        <v>343</v>
      </c>
      <c r="D66" s="5" t="s">
        <v>344</v>
      </c>
      <c r="E66" s="9" t="s">
        <v>235</v>
      </c>
      <c r="F66" s="7" t="s">
        <v>109</v>
      </c>
      <c r="G66" s="7" t="s">
        <v>124</v>
      </c>
      <c r="H66" s="5" t="s">
        <v>345</v>
      </c>
      <c r="I66" s="5" t="s">
        <v>346</v>
      </c>
      <c r="J66" s="7" t="s">
        <v>39</v>
      </c>
    </row>
    <row r="67" customFormat="false" ht="23.85" hidden="false" customHeight="false" outlineLevel="0" collapsed="false">
      <c r="A67" s="5" t="s">
        <v>347</v>
      </c>
      <c r="B67" s="5" t="s">
        <v>348</v>
      </c>
      <c r="C67" s="5" t="s">
        <v>349</v>
      </c>
      <c r="D67" s="5" t="s">
        <v>350</v>
      </c>
      <c r="E67" s="10" t="s">
        <v>351</v>
      </c>
      <c r="F67" s="7" t="s">
        <v>236</v>
      </c>
      <c r="G67" s="7" t="s">
        <v>266</v>
      </c>
      <c r="H67" s="5" t="s">
        <v>352</v>
      </c>
      <c r="I67" s="5" t="s">
        <v>353</v>
      </c>
      <c r="J67" s="7" t="s">
        <v>44</v>
      </c>
    </row>
    <row r="68" customFormat="false" ht="23.85" hidden="false" customHeight="false" outlineLevel="0" collapsed="false">
      <c r="A68" s="5" t="s">
        <v>354</v>
      </c>
      <c r="B68" s="5" t="s">
        <v>348</v>
      </c>
      <c r="C68" s="5" t="s">
        <v>355</v>
      </c>
      <c r="D68" s="5" t="s">
        <v>356</v>
      </c>
      <c r="E68" s="10" t="s">
        <v>351</v>
      </c>
      <c r="F68" s="7" t="s">
        <v>236</v>
      </c>
      <c r="G68" s="7" t="s">
        <v>266</v>
      </c>
      <c r="H68" s="5" t="s">
        <v>357</v>
      </c>
      <c r="I68" s="5" t="s">
        <v>358</v>
      </c>
      <c r="J68" s="7" t="s">
        <v>49</v>
      </c>
    </row>
    <row r="69" customFormat="false" ht="23.85" hidden="false" customHeight="false" outlineLevel="0" collapsed="false">
      <c r="A69" s="5" t="s">
        <v>359</v>
      </c>
      <c r="B69" s="5" t="s">
        <v>348</v>
      </c>
      <c r="C69" s="5" t="s">
        <v>360</v>
      </c>
      <c r="D69" s="5" t="s">
        <v>361</v>
      </c>
      <c r="E69" s="10" t="s">
        <v>351</v>
      </c>
      <c r="F69" s="7" t="s">
        <v>236</v>
      </c>
      <c r="G69" s="7" t="s">
        <v>266</v>
      </c>
      <c r="H69" s="5" t="s">
        <v>362</v>
      </c>
      <c r="I69" s="5" t="s">
        <v>363</v>
      </c>
      <c r="J69" s="7" t="s">
        <v>44</v>
      </c>
    </row>
    <row r="70" customFormat="false" ht="23.85" hidden="false" customHeight="false" outlineLevel="0" collapsed="false">
      <c r="A70" s="5" t="s">
        <v>364</v>
      </c>
      <c r="B70" s="5" t="s">
        <v>348</v>
      </c>
      <c r="C70" s="5" t="s">
        <v>365</v>
      </c>
      <c r="D70" s="5" t="s">
        <v>366</v>
      </c>
      <c r="E70" s="10" t="s">
        <v>351</v>
      </c>
      <c r="F70" s="7" t="s">
        <v>236</v>
      </c>
      <c r="G70" s="7" t="s">
        <v>266</v>
      </c>
      <c r="H70" s="5" t="s">
        <v>367</v>
      </c>
      <c r="I70" s="5" t="s">
        <v>368</v>
      </c>
      <c r="J70" s="7" t="s">
        <v>49</v>
      </c>
    </row>
    <row r="71" customFormat="false" ht="23.85" hidden="false" customHeight="false" outlineLevel="0" collapsed="false">
      <c r="A71" s="5" t="s">
        <v>369</v>
      </c>
      <c r="B71" s="5" t="s">
        <v>348</v>
      </c>
      <c r="C71" s="5" t="s">
        <v>370</v>
      </c>
      <c r="D71" s="5" t="s">
        <v>371</v>
      </c>
      <c r="E71" s="10" t="s">
        <v>351</v>
      </c>
      <c r="F71" s="7" t="s">
        <v>236</v>
      </c>
      <c r="G71" s="7" t="s">
        <v>266</v>
      </c>
      <c r="H71" s="5" t="s">
        <v>372</v>
      </c>
      <c r="I71" s="5" t="s">
        <v>373</v>
      </c>
      <c r="J71" s="7" t="s">
        <v>49</v>
      </c>
    </row>
    <row r="72" customFormat="false" ht="23.85" hidden="false" customHeight="false" outlineLevel="0" collapsed="false">
      <c r="A72" s="5" t="s">
        <v>374</v>
      </c>
      <c r="B72" s="5" t="s">
        <v>348</v>
      </c>
      <c r="C72" s="5" t="s">
        <v>375</v>
      </c>
      <c r="D72" s="5" t="s">
        <v>376</v>
      </c>
      <c r="E72" s="10" t="s">
        <v>351</v>
      </c>
      <c r="F72" s="7" t="s">
        <v>236</v>
      </c>
      <c r="G72" s="7" t="s">
        <v>266</v>
      </c>
      <c r="H72" s="5" t="s">
        <v>377</v>
      </c>
      <c r="I72" s="5" t="s">
        <v>378</v>
      </c>
      <c r="J72" s="7" t="s">
        <v>44</v>
      </c>
    </row>
    <row r="73" customFormat="false" ht="23.85" hidden="false" customHeight="false" outlineLevel="0" collapsed="false">
      <c r="A73" s="5" t="s">
        <v>379</v>
      </c>
      <c r="B73" s="5" t="s">
        <v>348</v>
      </c>
      <c r="C73" s="5" t="s">
        <v>380</v>
      </c>
      <c r="D73" s="5" t="s">
        <v>381</v>
      </c>
      <c r="E73" s="10" t="s">
        <v>351</v>
      </c>
      <c r="F73" s="7" t="s">
        <v>236</v>
      </c>
      <c r="G73" s="7" t="s">
        <v>266</v>
      </c>
      <c r="H73" s="5" t="s">
        <v>382</v>
      </c>
      <c r="I73" s="5" t="s">
        <v>383</v>
      </c>
      <c r="J73" s="7" t="s">
        <v>49</v>
      </c>
    </row>
    <row r="74" customFormat="false" ht="23.85" hidden="false" customHeight="false" outlineLevel="0" collapsed="false">
      <c r="A74" s="5" t="s">
        <v>384</v>
      </c>
      <c r="B74" s="5" t="s">
        <v>348</v>
      </c>
      <c r="C74" s="5" t="s">
        <v>385</v>
      </c>
      <c r="D74" s="5" t="s">
        <v>386</v>
      </c>
      <c r="E74" s="10" t="s">
        <v>351</v>
      </c>
      <c r="F74" s="7" t="s">
        <v>236</v>
      </c>
      <c r="G74" s="7" t="s">
        <v>266</v>
      </c>
      <c r="H74" s="5" t="s">
        <v>387</v>
      </c>
      <c r="I74" s="5" t="s">
        <v>388</v>
      </c>
      <c r="J74" s="7" t="s">
        <v>49</v>
      </c>
    </row>
    <row r="75" customFormat="false" ht="23.85" hidden="false" customHeight="false" outlineLevel="0" collapsed="false">
      <c r="A75" s="5" t="s">
        <v>389</v>
      </c>
      <c r="B75" s="5" t="s">
        <v>390</v>
      </c>
      <c r="C75" s="5" t="s">
        <v>391</v>
      </c>
      <c r="D75" s="5" t="s">
        <v>392</v>
      </c>
      <c r="E75" s="8" t="s">
        <v>97</v>
      </c>
      <c r="F75" s="7" t="s">
        <v>35</v>
      </c>
      <c r="G75" s="7" t="s">
        <v>36</v>
      </c>
      <c r="H75" s="5" t="s">
        <v>393</v>
      </c>
      <c r="I75" s="5" t="s">
        <v>394</v>
      </c>
      <c r="J75" s="7" t="s">
        <v>57</v>
      </c>
    </row>
    <row r="76" customFormat="false" ht="23.85" hidden="false" customHeight="false" outlineLevel="0" collapsed="false">
      <c r="A76" s="5" t="s">
        <v>395</v>
      </c>
      <c r="B76" s="5" t="s">
        <v>390</v>
      </c>
      <c r="C76" s="5" t="s">
        <v>396</v>
      </c>
      <c r="D76" s="5" t="s">
        <v>397</v>
      </c>
      <c r="E76" s="8" t="s">
        <v>97</v>
      </c>
      <c r="F76" s="7" t="s">
        <v>35</v>
      </c>
      <c r="G76" s="7" t="s">
        <v>36</v>
      </c>
      <c r="H76" s="5" t="s">
        <v>398</v>
      </c>
      <c r="I76" s="5" t="s">
        <v>399</v>
      </c>
      <c r="J76" s="7" t="s">
        <v>39</v>
      </c>
    </row>
    <row r="77" customFormat="false" ht="23.85" hidden="false" customHeight="false" outlineLevel="0" collapsed="false">
      <c r="A77" s="5" t="s">
        <v>400</v>
      </c>
      <c r="B77" s="5" t="s">
        <v>390</v>
      </c>
      <c r="C77" s="5" t="s">
        <v>401</v>
      </c>
      <c r="D77" s="5" t="s">
        <v>402</v>
      </c>
      <c r="E77" s="8" t="s">
        <v>97</v>
      </c>
      <c r="F77" s="7" t="s">
        <v>35</v>
      </c>
      <c r="G77" s="7" t="s">
        <v>36</v>
      </c>
      <c r="H77" s="5" t="s">
        <v>403</v>
      </c>
      <c r="I77" s="5" t="s">
        <v>404</v>
      </c>
      <c r="J77" s="7" t="s">
        <v>39</v>
      </c>
    </row>
    <row r="78" customFormat="false" ht="35.05" hidden="false" customHeight="false" outlineLevel="0" collapsed="false">
      <c r="A78" s="5" t="s">
        <v>405</v>
      </c>
      <c r="B78" s="5" t="s">
        <v>390</v>
      </c>
      <c r="C78" s="5" t="s">
        <v>406</v>
      </c>
      <c r="D78" s="5" t="s">
        <v>407</v>
      </c>
      <c r="E78" s="8" t="s">
        <v>97</v>
      </c>
      <c r="F78" s="7" t="s">
        <v>35</v>
      </c>
      <c r="G78" s="7" t="s">
        <v>36</v>
      </c>
      <c r="H78" s="5" t="s">
        <v>408</v>
      </c>
      <c r="I78" s="5" t="s">
        <v>409</v>
      </c>
      <c r="J78" s="7" t="s">
        <v>39</v>
      </c>
    </row>
    <row r="79" customFormat="false" ht="23.85" hidden="false" customHeight="false" outlineLevel="0" collapsed="false">
      <c r="A79" s="5" t="s">
        <v>410</v>
      </c>
      <c r="B79" s="5" t="s">
        <v>390</v>
      </c>
      <c r="C79" s="5" t="s">
        <v>411</v>
      </c>
      <c r="D79" s="5" t="s">
        <v>412</v>
      </c>
      <c r="E79" s="8" t="s">
        <v>97</v>
      </c>
      <c r="F79" s="7" t="s">
        <v>109</v>
      </c>
      <c r="G79" s="7" t="s">
        <v>103</v>
      </c>
      <c r="H79" s="5" t="s">
        <v>413</v>
      </c>
      <c r="I79" s="5" t="s">
        <v>414</v>
      </c>
      <c r="J79" s="7" t="s">
        <v>44</v>
      </c>
    </row>
    <row r="80" customFormat="false" ht="23.85" hidden="false" customHeight="false" outlineLevel="0" collapsed="false">
      <c r="A80" s="5" t="s">
        <v>415</v>
      </c>
      <c r="B80" s="5" t="s">
        <v>390</v>
      </c>
      <c r="C80" s="5" t="s">
        <v>416</v>
      </c>
      <c r="D80" s="5" t="s">
        <v>417</v>
      </c>
      <c r="E80" s="8" t="s">
        <v>97</v>
      </c>
      <c r="F80" s="7" t="s">
        <v>35</v>
      </c>
      <c r="G80" s="7" t="s">
        <v>36</v>
      </c>
      <c r="H80" s="5" t="s">
        <v>418</v>
      </c>
      <c r="I80" s="5" t="s">
        <v>419</v>
      </c>
      <c r="J80" s="7" t="s">
        <v>57</v>
      </c>
    </row>
    <row r="81" customFormat="false" ht="23.85" hidden="false" customHeight="false" outlineLevel="0" collapsed="false">
      <c r="A81" s="5" t="s">
        <v>420</v>
      </c>
      <c r="B81" s="5" t="s">
        <v>390</v>
      </c>
      <c r="C81" s="5" t="s">
        <v>421</v>
      </c>
      <c r="D81" s="5" t="s">
        <v>422</v>
      </c>
      <c r="E81" s="8" t="s">
        <v>97</v>
      </c>
      <c r="F81" s="7" t="s">
        <v>35</v>
      </c>
      <c r="G81" s="7" t="s">
        <v>103</v>
      </c>
      <c r="H81" s="5" t="s">
        <v>423</v>
      </c>
      <c r="I81" s="5" t="s">
        <v>424</v>
      </c>
      <c r="J81" s="7" t="s">
        <v>39</v>
      </c>
    </row>
    <row r="82" customFormat="false" ht="23.85" hidden="false" customHeight="false" outlineLevel="0" collapsed="false">
      <c r="A82" s="5" t="s">
        <v>425</v>
      </c>
      <c r="B82" s="5" t="s">
        <v>390</v>
      </c>
      <c r="C82" s="5" t="s">
        <v>426</v>
      </c>
      <c r="D82" s="5" t="s">
        <v>427</v>
      </c>
      <c r="E82" s="8" t="s">
        <v>97</v>
      </c>
      <c r="F82" s="7" t="s">
        <v>35</v>
      </c>
      <c r="G82" s="7" t="s">
        <v>36</v>
      </c>
      <c r="H82" s="5" t="s">
        <v>428</v>
      </c>
      <c r="I82" s="5" t="s">
        <v>185</v>
      </c>
      <c r="J82" s="7" t="s">
        <v>39</v>
      </c>
    </row>
    <row r="83" customFormat="false" ht="23.85" hidden="false" customHeight="false" outlineLevel="0" collapsed="false">
      <c r="A83" s="5" t="s">
        <v>429</v>
      </c>
      <c r="B83" s="5" t="s">
        <v>390</v>
      </c>
      <c r="C83" s="5" t="s">
        <v>430</v>
      </c>
      <c r="D83" s="5" t="s">
        <v>431</v>
      </c>
      <c r="E83" s="8" t="s">
        <v>97</v>
      </c>
      <c r="F83" s="7" t="s">
        <v>35</v>
      </c>
      <c r="G83" s="7" t="s">
        <v>103</v>
      </c>
      <c r="H83" s="5" t="s">
        <v>174</v>
      </c>
      <c r="I83" s="5" t="s">
        <v>432</v>
      </c>
      <c r="J83" s="7" t="s">
        <v>39</v>
      </c>
    </row>
    <row r="84" customFormat="false" ht="23.85" hidden="false" customHeight="false" outlineLevel="0" collapsed="false">
      <c r="A84" s="5" t="s">
        <v>433</v>
      </c>
      <c r="B84" s="5" t="s">
        <v>390</v>
      </c>
      <c r="C84" s="5" t="s">
        <v>434</v>
      </c>
      <c r="D84" s="5" t="s">
        <v>435</v>
      </c>
      <c r="E84" s="8" t="s">
        <v>97</v>
      </c>
      <c r="F84" s="7" t="s">
        <v>109</v>
      </c>
      <c r="G84" s="7" t="s">
        <v>103</v>
      </c>
      <c r="H84" s="5" t="s">
        <v>436</v>
      </c>
      <c r="I84" s="5" t="s">
        <v>437</v>
      </c>
      <c r="J84" s="7" t="s">
        <v>44</v>
      </c>
    </row>
    <row r="85" customFormat="false" ht="23.85" hidden="false" customHeight="false" outlineLevel="0" collapsed="false">
      <c r="A85" s="5" t="s">
        <v>438</v>
      </c>
      <c r="B85" s="5" t="s">
        <v>390</v>
      </c>
      <c r="C85" s="5" t="s">
        <v>439</v>
      </c>
      <c r="D85" s="5" t="s">
        <v>440</v>
      </c>
      <c r="E85" s="9" t="s">
        <v>235</v>
      </c>
      <c r="F85" s="7" t="s">
        <v>236</v>
      </c>
      <c r="G85" s="7" t="s">
        <v>124</v>
      </c>
      <c r="H85" s="5" t="s">
        <v>441</v>
      </c>
      <c r="I85" s="5" t="s">
        <v>442</v>
      </c>
      <c r="J85" s="7" t="s">
        <v>39</v>
      </c>
    </row>
  </sheetData>
  <autoFilter ref="A1:J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1" t="s">
        <v>443</v>
      </c>
      <c r="B1" s="12"/>
      <c r="C1" s="12"/>
      <c r="D1" s="12"/>
      <c r="E1" s="12"/>
    </row>
    <row r="2" customFormat="false" ht="15" hidden="false" customHeight="false" outlineLevel="0" collapsed="false">
      <c r="A2" s="12"/>
      <c r="B2" s="12"/>
      <c r="C2" s="12"/>
      <c r="D2" s="12"/>
      <c r="E2" s="12"/>
    </row>
    <row r="3" customFormat="false" ht="15" hidden="false" customHeight="false" outlineLevel="0" collapsed="false">
      <c r="A3" s="13" t="s">
        <v>444</v>
      </c>
      <c r="B3" s="13" t="s">
        <v>445</v>
      </c>
      <c r="C3" s="12"/>
      <c r="D3" s="13" t="s">
        <v>446</v>
      </c>
      <c r="E3" s="13" t="s">
        <v>445</v>
      </c>
    </row>
    <row r="4" customFormat="false" ht="15" hidden="false" customHeight="false" outlineLevel="0" collapsed="false">
      <c r="A4" s="12" t="s">
        <v>447</v>
      </c>
      <c r="B4" s="12" t="n">
        <f aca="false">COUNTIF(Backlog!E:E,"P0")</f>
        <v>13</v>
      </c>
      <c r="C4" s="12"/>
      <c r="D4" s="12" t="s">
        <v>36</v>
      </c>
      <c r="E4" s="12" t="n">
        <f aca="false">COUNTIF(Backlog!G:G,"Lot 1")</f>
        <v>22</v>
      </c>
    </row>
    <row r="5" customFormat="false" ht="15" hidden="false" customHeight="false" outlineLevel="0" collapsed="false">
      <c r="A5" s="12" t="s">
        <v>6</v>
      </c>
      <c r="B5" s="12" t="n">
        <f aca="false">COUNTIF(Backlog!E:E,"P1")</f>
        <v>37</v>
      </c>
      <c r="C5" s="12"/>
      <c r="D5" s="12" t="s">
        <v>103</v>
      </c>
      <c r="E5" s="12" t="n">
        <f aca="false">COUNTIF(Backlog!G:G,"Lot 2")</f>
        <v>20</v>
      </c>
    </row>
    <row r="6" customFormat="false" ht="15" hidden="false" customHeight="false" outlineLevel="0" collapsed="false">
      <c r="A6" s="12" t="s">
        <v>8</v>
      </c>
      <c r="B6" s="12" t="n">
        <f aca="false">COUNTIF(Backlog!E:E,"P2")</f>
        <v>26</v>
      </c>
      <c r="C6" s="12"/>
      <c r="D6" s="12" t="s">
        <v>124</v>
      </c>
      <c r="E6" s="12" t="n">
        <f aca="false">COUNTIF(Backlog!G:G,"Lot 3")</f>
        <v>20</v>
      </c>
    </row>
    <row r="7" customFormat="false" ht="15" hidden="false" customHeight="false" outlineLevel="0" collapsed="false">
      <c r="A7" s="12" t="s">
        <v>10</v>
      </c>
      <c r="B7" s="12" t="n">
        <f aca="false">COUNTIF(Backlog!E:E,"P3")</f>
        <v>8</v>
      </c>
      <c r="C7" s="12"/>
      <c r="D7" s="12" t="s">
        <v>266</v>
      </c>
      <c r="E7" s="12" t="n">
        <f aca="false">COUNTIF(Backlog!G:G,"Lot 4")</f>
        <v>22</v>
      </c>
    </row>
    <row r="8" customFormat="false" ht="15" hidden="false" customHeight="false" outlineLevel="0" collapsed="false">
      <c r="A8" s="13" t="s">
        <v>448</v>
      </c>
      <c r="B8" s="13" t="n">
        <f aca="false">SUM(B4:B7)</f>
        <v>84</v>
      </c>
      <c r="C8" s="12"/>
      <c r="D8" s="13" t="s">
        <v>448</v>
      </c>
      <c r="E8" s="13" t="n">
        <f aca="false">SUM(E4:E7)</f>
        <v>84</v>
      </c>
    </row>
    <row r="9" customFormat="false" ht="15" hidden="false" customHeight="false" outlineLevel="0" collapsed="false">
      <c r="A9" s="12"/>
      <c r="B9" s="12"/>
      <c r="C9" s="12"/>
      <c r="D9" s="12"/>
      <c r="E9" s="12"/>
    </row>
    <row r="10" customFormat="false" ht="15" hidden="false" customHeight="false" outlineLevel="0" collapsed="false">
      <c r="A10" s="14" t="s">
        <v>449</v>
      </c>
      <c r="B10" s="12"/>
      <c r="C10" s="12"/>
      <c r="D10" s="12"/>
      <c r="E10" s="12"/>
    </row>
    <row r="11" customFormat="false" ht="15" hidden="false" customHeight="false" outlineLevel="0" collapsed="false">
      <c r="A11" s="13" t="s">
        <v>23</v>
      </c>
      <c r="B11" s="13" t="s">
        <v>450</v>
      </c>
      <c r="C11" s="13" t="s">
        <v>451</v>
      </c>
      <c r="D11" s="12"/>
      <c r="E11" s="12"/>
    </row>
    <row r="12" customFormat="false" ht="15" hidden="false" customHeight="false" outlineLevel="0" collapsed="false">
      <c r="A12" s="12" t="s">
        <v>31</v>
      </c>
      <c r="B12" s="12" t="n">
        <f aca="false">COUNTIF(Backlog!B:B,"E01 Éditeur &amp; logique")</f>
        <v>7</v>
      </c>
      <c r="C12" s="12" t="n">
        <f aca="false">COUNTIFS(Backlog!B:B,"E01 Éditeur &amp; logique",Backlog!F:F,"Must")</f>
        <v>5</v>
      </c>
      <c r="D12" s="12"/>
      <c r="E12" s="12"/>
    </row>
    <row r="13" customFormat="false" ht="15" hidden="false" customHeight="false" outlineLevel="0" collapsed="false">
      <c r="A13" s="12" t="s">
        <v>51</v>
      </c>
      <c r="B13" s="12" t="n">
        <f aca="false">COUNTIF(Backlog!B:B,"E02 Déclencheurs &amp; connectivité")</f>
        <v>5</v>
      </c>
      <c r="C13" s="12" t="n">
        <f aca="false">COUNTIFS(Backlog!B:B,"E02 Déclencheurs &amp; connectivité",Backlog!F:F,"Must")</f>
        <v>3</v>
      </c>
      <c r="D13" s="12"/>
      <c r="E13" s="12"/>
    </row>
    <row r="14" customFormat="false" ht="15" hidden="false" customHeight="false" outlineLevel="0" collapsed="false">
      <c r="A14" s="12" t="s">
        <v>46</v>
      </c>
      <c r="B14" s="12" t="n">
        <f aca="false">COUNTIF(Backlog!B:B,"E03 Catalogue")</f>
        <v>2</v>
      </c>
      <c r="C14" s="12" t="n">
        <f aca="false">COUNTIFS(Backlog!B:B,"E03 Catalogue",Backlog!F:F,"Must")</f>
        <v>1</v>
      </c>
      <c r="D14" s="12"/>
      <c r="E14" s="12"/>
    </row>
    <row r="15" customFormat="false" ht="15" hidden="false" customHeight="false" outlineLevel="0" collapsed="false">
      <c r="A15" s="12" t="s">
        <v>59</v>
      </c>
      <c r="B15" s="12" t="n">
        <f aca="false">COUNTIF(Backlog!B:B,"E04 Fiabilité &amp; exploitation")</f>
        <v>4</v>
      </c>
      <c r="C15" s="12" t="n">
        <f aca="false">COUNTIFS(Backlog!B:B,"E04 Fiabilité &amp; exploitation",Backlog!F:F,"Must")</f>
        <v>3</v>
      </c>
      <c r="D15" s="12"/>
      <c r="E15" s="12"/>
    </row>
    <row r="16" customFormat="false" ht="15" hidden="false" customHeight="false" outlineLevel="0" collapsed="false">
      <c r="A16" s="12" t="s">
        <v>71</v>
      </c>
      <c r="B16" s="12" t="n">
        <f aca="false">COUNTIF(Backlog!B:B,"E05 IA &amp; agents")</f>
        <v>12</v>
      </c>
      <c r="C16" s="12" t="n">
        <f aca="false">COUNTIFS(Backlog!B:B,"E05 IA &amp; agents",Backlog!F:F,"Must")</f>
        <v>5</v>
      </c>
      <c r="D16" s="12"/>
      <c r="E16" s="12"/>
    </row>
    <row r="17" customFormat="false" ht="15" hidden="false" customHeight="false" outlineLevel="0" collapsed="false">
      <c r="A17" s="12" t="s">
        <v>143</v>
      </c>
      <c r="B17" s="12" t="n">
        <f aca="false">COUNTIF(Backlog!B:B,"E06 Humain dans la boucle")</f>
        <v>2</v>
      </c>
      <c r="C17" s="12" t="n">
        <f aca="false">COUNTIFS(Backlog!B:B,"E06 Humain dans la boucle",Backlog!F:F,"Must")</f>
        <v>1</v>
      </c>
      <c r="D17" s="12"/>
      <c r="E17" s="12"/>
    </row>
    <row r="18" customFormat="false" ht="15" hidden="false" customHeight="false" outlineLevel="0" collapsed="false">
      <c r="A18" s="12" t="s">
        <v>63</v>
      </c>
      <c r="B18" s="12" t="n">
        <f aca="false">COUNTIF(Backlog!B:B,"E07 Gouvernance &amp; sécurité")</f>
        <v>8</v>
      </c>
      <c r="C18" s="12" t="n">
        <f aca="false">COUNTIFS(Backlog!B:B,"E07 Gouvernance &amp; sécurité",Backlog!F:F,"Must")</f>
        <v>6</v>
      </c>
      <c r="D18" s="12"/>
      <c r="E18" s="12"/>
    </row>
    <row r="19" customFormat="false" ht="15" hidden="false" customHeight="false" outlineLevel="0" collapsed="false">
      <c r="A19" s="12" t="s">
        <v>232</v>
      </c>
      <c r="B19" s="12" t="n">
        <f aca="false">COUNTIF(Backlog!B:B,"E08 Souveraineté &amp; déploiement")</f>
        <v>4</v>
      </c>
      <c r="C19" s="12" t="n">
        <f aca="false">COUNTIFS(Backlog!B:B,"E08 Souveraineté &amp; déploiement",Backlog!F:F,"Must")</f>
        <v>0</v>
      </c>
      <c r="D19" s="12"/>
      <c r="E19" s="12"/>
    </row>
    <row r="20" customFormat="false" ht="15" hidden="false" customHeight="false" outlineLevel="0" collapsed="false">
      <c r="A20" s="12" t="s">
        <v>221</v>
      </c>
      <c r="B20" s="12" t="n">
        <f aca="false">COUNTIF(Backlog!B:B,"E09 Suite &amp; expérience")</f>
        <v>4</v>
      </c>
      <c r="C20" s="12" t="n">
        <f aca="false">COUNTIFS(Backlog!B:B,"E09 Suite &amp; expérience",Backlog!F:F,"Must")</f>
        <v>0</v>
      </c>
      <c r="D20" s="12"/>
      <c r="E20" s="12"/>
    </row>
    <row r="21" customFormat="false" ht="15" hidden="false" customHeight="false" outlineLevel="0" collapsed="false">
      <c r="A21" s="12" t="s">
        <v>263</v>
      </c>
      <c r="B21" s="12" t="n">
        <f aca="false">COUNTIF(Backlog!B:B,"E10 RPA &amp; process intelligence")</f>
        <v>3</v>
      </c>
      <c r="C21" s="12" t="n">
        <f aca="false">COUNTIFS(Backlog!B:B,"E10 RPA &amp; process intelligence",Backlog!F:F,"Must")</f>
        <v>0</v>
      </c>
      <c r="D21" s="12"/>
      <c r="E21" s="12"/>
    </row>
    <row r="22" customFormat="false" ht="15" hidden="false" customHeight="false" outlineLevel="0" collapsed="false">
      <c r="A22" s="12" t="s">
        <v>137</v>
      </c>
      <c r="B22" s="12" t="n">
        <f aca="false">COUNTIF(Backlog!B:B,"E11 Extensibilité &amp; écosystème")</f>
        <v>5</v>
      </c>
      <c r="C22" s="12" t="n">
        <f aca="false">COUNTIFS(Backlog!B:B,"E11 Extensibilité &amp; écosystème",Backlog!F:F,"Must")</f>
        <v>0</v>
      </c>
      <c r="D22" s="12"/>
      <c r="E22" s="12"/>
    </row>
    <row r="23" customFormat="false" ht="15" hidden="false" customHeight="false" outlineLevel="0" collapsed="false">
      <c r="A23" s="12" t="s">
        <v>76</v>
      </c>
      <c r="B23" s="12" t="n">
        <f aca="false">COUNTIF(Backlog!B:B,"E12 Licences &amp; modèle éco.")</f>
        <v>3</v>
      </c>
      <c r="C23" s="12" t="n">
        <f aca="false">COUNTIFS(Backlog!B:B,"E12 Licences &amp; modèle éco.",Backlog!F:F,"Must")</f>
        <v>2</v>
      </c>
      <c r="D23" s="12"/>
      <c r="E23" s="12"/>
    </row>
    <row r="24" customFormat="false" ht="15" hidden="false" customHeight="false" outlineLevel="0" collapsed="false">
      <c r="A24" s="12" t="s">
        <v>86</v>
      </c>
      <c r="B24" s="12" t="n">
        <f aca="false">COUNTIF(Backlog!B:B,"E13 NFR")</f>
        <v>6</v>
      </c>
      <c r="C24" s="12" t="n">
        <f aca="false">COUNTIFS(Backlog!B:B,"E13 NFR",Backlog!F:F,"Must")</f>
        <v>3</v>
      </c>
      <c r="D24" s="12"/>
      <c r="E24" s="12"/>
    </row>
    <row r="25" customFormat="false" ht="15" hidden="false" customHeight="false" outlineLevel="0" collapsed="false">
      <c r="A25" s="12" t="s">
        <v>348</v>
      </c>
      <c r="B25" s="12" t="n">
        <f aca="false">COUNTIF(Backlog!B:B,"E14 Innovation")</f>
        <v>8</v>
      </c>
      <c r="C25" s="12" t="n">
        <f aca="false">COUNTIFS(Backlog!B:B,"E14 Innovation",Backlog!F:F,"Must")</f>
        <v>0</v>
      </c>
      <c r="D25" s="12"/>
      <c r="E25" s="12"/>
    </row>
    <row r="26" customFormat="false" ht="15" hidden="false" customHeight="false" outlineLevel="0" collapsed="false">
      <c r="A26" s="12" t="s">
        <v>390</v>
      </c>
      <c r="B26" s="12" t="n">
        <f aca="false">COUNTIF(Backlog!B:B,"E15 Chantiers SI")</f>
        <v>11</v>
      </c>
      <c r="C26" s="12" t="n">
        <f aca="false">COUNTIFS(Backlog!B:B,"E15 Chantiers SI",Backlog!F:F,"Must")</f>
        <v>8</v>
      </c>
      <c r="D26" s="12"/>
      <c r="E26" s="12"/>
    </row>
    <row r="27" customFormat="false" ht="15" hidden="false" customHeight="false" outlineLevel="0" collapsed="false">
      <c r="A27" s="13" t="s">
        <v>448</v>
      </c>
      <c r="B27" s="13" t="n">
        <f aca="false">SUM(B12:B26)</f>
        <v>84</v>
      </c>
      <c r="C27" s="13" t="n">
        <f aca="false">SUM(C12:C26)</f>
        <v>37</v>
      </c>
      <c r="D27" s="12"/>
      <c r="E2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2026-07-04T11:21:26Z</dcterms:created>
  <dc:creator>openpyxl</dc:creator>
  <dc:description/>
  <dc:language>en-US</dc:language>
  <cp:lastModifiedBy/>
  <dcterms:modified xsi:type="dcterms:W3CDTF">2026-07-04T11:21:26Z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