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cklog" sheetId="2" state="visible" r:id="rId4"/>
    <sheet name="Synthèse" sheetId="3" state="visible" r:id="rId5"/>
  </sheets>
  <definedNames>
    <definedName function="false" hidden="true" localSheetId="1" name="_xlnm._FilterDatabase" vbProcedure="false">Backlog!$A$1:$J$71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<sst xmlns="http://schemas.openxmlformats.org/spreadsheetml/2006/main" count="765" uniqueCount="377">
  <si>
    <t xml:space="preserve">Backlog consolidé — Plateforme de gestion de projets et pilotage de portefeuille (PPM) — prisme secteur public</t>
  </si>
  <si>
    <t xml:space="preserve">Objet</t>
  </si>
  <si>
    <t xml:space="preserve">Backlog unique consolidant les exigences des 3 cahiers de spécifications (Project Monitor, Sciforma, Microsoft Planner/Project), dédoublonnées et priorisées selon le dossier de synthèse du 4 juillet 2026, avec le prisme 'pouvoir adjudicateur / entreprise publique'.</t>
  </si>
  <si>
    <t xml:space="preserve">Logique de priorisation</t>
  </si>
  <si>
    <t xml:space="preserve">P0 — Socle</t>
  </si>
  <si>
    <t xml:space="preserve">Intersection des 3 outils (dossier §4) : planifier, visualiser, consolider, collaborer. Must, Lot 1.</t>
  </si>
  <si>
    <t xml:space="preserve">P1 — Cœur PPM &amp; SI public</t>
  </si>
  <si>
    <t xml:space="preserve">Bloc PPM partagé PM+Sciforma (demande, capacité, budgets pluriannuels, temps, risques, comités — dossier §5.1) + exigences critiques des insights (I2 interface comptable, I3 capacité, I4 souveraineté, I5 pérennité, I9 traçabilité) + chantiers SI.</t>
  </si>
  <si>
    <t xml:space="preserve">P2 — Différenciant</t>
  </si>
  <si>
    <t xml:space="preserve">Fonctionnalités rares d'un seul outil (dossier §6) : what-if, agent IA exécutant, DLP sur tâches, on-premise, IA souveraine... À activer selon positionnement.</t>
  </si>
  <si>
    <t xml:space="preserve">P3 — Innovation publique</t>
  </si>
  <si>
    <t xml:space="preserve">Bonus B1-B8 (dossier §7) : commande publique, subventions, AP/CP, livrables d'instance, transparence, archivage probant, valeur publique, format ouvert.</t>
  </si>
  <si>
    <t xml:space="preserve">Colonnes</t>
  </si>
  <si>
    <t xml:space="preserve">Origine</t>
  </si>
  <si>
    <t xml:space="preserve">Socle 3/3, 2/3, Différenciant [outil], Bonus Bn, Insight In, NFR, Contexte public FR.</t>
  </si>
  <si>
    <t xml:space="preserve">Complexité</t>
  </si>
  <si>
    <t xml:space="preserve">S (jours), M (1-2 sprints), L (3-6 sprints), XL (chantier).</t>
  </si>
  <si>
    <t xml:space="preserve">Épique E13</t>
  </si>
  <si>
    <t xml:space="preserve">Chantiers SI hors produit : décisions d'architecture, consultation/marché, gouvernance, adoption.</t>
  </si>
  <si>
    <t xml:space="preserve">Notes souveraineté</t>
  </si>
  <si>
    <t xml:space="preserve">PP-046 (on-premise) et PP-035 (hébergement FR/UE) deviennent des exigences fermes si des portefeuilles sensibles existent (cf. PP-028/PP-064).</t>
  </si>
  <si>
    <t xml:space="preserve">Total items</t>
  </si>
  <si>
    <t xml:space="preserve">ID</t>
  </si>
  <si>
    <t xml:space="preserve">Épique</t>
  </si>
  <si>
    <t xml:space="preserve">Item</t>
  </si>
  <si>
    <t xml:space="preserve">Description</t>
  </si>
  <si>
    <t xml:space="preserve">Priorité</t>
  </si>
  <si>
    <t xml:space="preserve">MoSCoW</t>
  </si>
  <si>
    <t xml:space="preserve">Lot cible</t>
  </si>
  <si>
    <t xml:space="preserve">Justification (dossier)</t>
  </si>
  <si>
    <t xml:space="preserve">PP-001</t>
  </si>
  <si>
    <t xml:space="preserve">E02 Planification</t>
  </si>
  <si>
    <t xml:space="preserve">Gantt, dépendances, jalons</t>
  </si>
  <si>
    <t xml:space="preserve">Planification interactive multi-projets : WBS, dépendances, jalons, planification automatique.</t>
  </si>
  <si>
    <t xml:space="preserve">P0</t>
  </si>
  <si>
    <t xml:space="preserve">Must</t>
  </si>
  <si>
    <t xml:space="preserve">Lot 1</t>
  </si>
  <si>
    <t xml:space="preserve">Socle 3/3</t>
  </si>
  <si>
    <t xml:space="preserve">Dossier §4 : présent chez les 3</t>
  </si>
  <si>
    <t xml:space="preserve">L</t>
  </si>
  <si>
    <t xml:space="preserve">PP-002</t>
  </si>
  <si>
    <t xml:space="preserve">Chemin critique</t>
  </si>
  <si>
    <t xml:space="preserve">Calcul et visualisation du chemin critique pour prioriser ressources et affectations.</t>
  </si>
  <si>
    <t xml:space="preserve">Dossier §4</t>
  </si>
  <si>
    <t xml:space="preserve">M</t>
  </si>
  <si>
    <t xml:space="preserve">PP-003</t>
  </si>
  <si>
    <t xml:space="preserve">Vues multiples</t>
  </si>
  <si>
    <t xml:space="preserve">Tableau/Kanban, liste, calendrier, chronologie ; filtres et regroupements ; export Excel.</t>
  </si>
  <si>
    <t xml:space="preserve">PP-004</t>
  </si>
  <si>
    <t xml:space="preserve">E05 Portefeuille &amp; comités</t>
  </si>
  <si>
    <t xml:space="preserve">Vue portefeuille consolidée</t>
  </si>
  <si>
    <t xml:space="preserve">Vision 360° multi-projets : santé, avancement, phases, jalons et dates clés, avec drill-down.</t>
  </si>
  <si>
    <t xml:space="preserve">PP-005</t>
  </si>
  <si>
    <t xml:space="preserve">Modèles de projets</t>
  </si>
  <si>
    <t xml:space="preserve">Bibliothèque de modèles réutilisables et gouvernés (méthodes internes transposables).</t>
  </si>
  <si>
    <t xml:space="preserve">PP-006</t>
  </si>
  <si>
    <t xml:space="preserve">Tableaux de bord personnalisables</t>
  </si>
  <si>
    <t xml:space="preserve">Tableaux synthétiques et détaillés par profil, avec alertes sur points de tension.</t>
  </si>
  <si>
    <t xml:space="preserve">PP-007</t>
  </si>
  <si>
    <t xml:space="preserve">E03 Ressources &amp; temps</t>
  </si>
  <si>
    <t xml:space="preserve">Ressources et affectations</t>
  </si>
  <si>
    <t xml:space="preserve">Affectation des ressources aux tâches/projets, visualisation des charges.</t>
  </si>
  <si>
    <t xml:space="preserve">PP-008</t>
  </si>
  <si>
    <t xml:space="preserve">E04 Budgets &amp; finances</t>
  </si>
  <si>
    <t xml:space="preserve">Coûts au niveau projet</t>
  </si>
  <si>
    <t xml:space="preserve">Suivi des coûts par projet : prévu, engagé, réalisé.</t>
  </si>
  <si>
    <t xml:space="preserve">PP-009</t>
  </si>
  <si>
    <t xml:space="preserve">E06 Collaboration &amp; tâches</t>
  </si>
  <si>
    <t xml:space="preserve">Collaboration contextuelle</t>
  </si>
  <si>
    <t xml:space="preserve">Échanges rattachés aux tâches/projets (mentions, fils, notifications ciblées).</t>
  </si>
  <si>
    <t xml:space="preserve">PP-010</t>
  </si>
  <si>
    <t xml:space="preserve">E08 Gouvernance &amp; sécurité</t>
  </si>
  <si>
    <t xml:space="preserve">Droits par rôle et périmètre</t>
  </si>
  <si>
    <t xml:space="preserve">Rôles fins (élus, direction, PMO, MOA, MOE, métiers, externes) avec périmètres de visibilité.</t>
  </si>
  <si>
    <t xml:space="preserve">PP-011</t>
  </si>
  <si>
    <t xml:space="preserve">E11 NFR</t>
  </si>
  <si>
    <t xml:space="preserve">Cloud/SaaS et RGPD</t>
  </si>
  <si>
    <t xml:space="preserve">Déploiement SaaS ; RGPD avec DPA ; chiffrement transit/repos ; disponibilité &gt;= 99,5 %.</t>
  </si>
  <si>
    <t xml:space="preserve">Socle 3/3 + NFR des 3 cahiers</t>
  </si>
  <si>
    <t xml:space="preserve">Cahiers ENF</t>
  </si>
  <si>
    <t xml:space="preserve">PP-012</t>
  </si>
  <si>
    <t xml:space="preserve">Localisation FR et RGAA</t>
  </si>
  <si>
    <t xml:space="preserve">Interface 100 % francophone ; conformité RGAA 4 avec déclaration d'accessibilité (obligation légale secteur public).</t>
  </si>
  <si>
    <t xml:space="preserve">NFR + contexte public FR</t>
  </si>
  <si>
    <t xml:space="preserve">Cahiers ENF ; obligation pour les organismes publics</t>
  </si>
  <si>
    <t xml:space="preserve">PP-013</t>
  </si>
  <si>
    <t xml:space="preserve">E01 Demande &amp; arbitrage</t>
  </si>
  <si>
    <t xml:space="preserve">Gestion de la demande</t>
  </si>
  <si>
    <t xml:space="preserve">Recueil des demandes/idées par formulaires typés, qualification, circuit de validation.</t>
  </si>
  <si>
    <t xml:space="preserve">P1</t>
  </si>
  <si>
    <t xml:space="preserve">Lot 2</t>
  </si>
  <si>
    <t xml:space="preserve">2/3 (PM, Sciforma) — cœur PPM</t>
  </si>
  <si>
    <t xml:space="preserve">Dossier §5.1 : la frontière PPM/outil de tâches</t>
  </si>
  <si>
    <t xml:space="preserve">PP-014</t>
  </si>
  <si>
    <t xml:space="preserve">Scoring multicritère</t>
  </si>
  <si>
    <t xml:space="preserve">Notation configurable des demandes (alignement, coût, risque, impact), votes indépendants des décideurs.</t>
  </si>
  <si>
    <t xml:space="preserve">2/3 (PM, Sciforma)</t>
  </si>
  <si>
    <t xml:space="preserve">Dossier §5.1 + §6.2</t>
  </si>
  <si>
    <t xml:space="preserve">PP-015</t>
  </si>
  <si>
    <t xml:space="preserve">Capacité à faire</t>
  </si>
  <si>
    <t xml:space="preserve">Confrontation demandes + projets en cours + activités récurrentes vs disponibilité réelle, avant tout lancement.</t>
  </si>
  <si>
    <t xml:space="preserve">2/3 (PM, Sciforma) + Insight I3</t>
  </si>
  <si>
    <t xml:space="preserve">Dossier §8-I3 : 'le vrai arbitre en période de contrainte'</t>
  </si>
  <si>
    <t xml:space="preserve">XL</t>
  </si>
  <si>
    <t xml:space="preserve">PP-016</t>
  </si>
  <si>
    <t xml:space="preserve">Budgets pluriannuels (PPI)</t>
  </si>
  <si>
    <t xml:space="preserve">Budget de portefeuille pluriannuel : prévisionnel/engagé/réalisé par exercice, enveloppes par entité.</t>
  </si>
  <si>
    <t xml:space="preserve">Dossier §5.1 ; logique PPI des collectivités</t>
  </si>
  <si>
    <t xml:space="preserve">PP-017</t>
  </si>
  <si>
    <t xml:space="preserve">E09 Intégration SI</t>
  </si>
  <si>
    <t xml:space="preserve">Interface comptabilité publique</t>
  </si>
  <si>
    <t xml:space="preserve">Connecteurs avec les SI financiers publics (M57 ; Coriolis, Grand Angle...) : import des réalisations, rapprochement automatique.</t>
  </si>
  <si>
    <t xml:space="preserve">Différenciant PM élevé au rang d'exigence + Insight I2</t>
  </si>
  <si>
    <t xml:space="preserve">Dossier §8-I2 : critère discriminant n°1 ; cas Strasbourg, gain 1 j -&gt; 1 h (Haute-Savoie)</t>
  </si>
  <si>
    <t xml:space="preserve">PP-018</t>
  </si>
  <si>
    <t xml:space="preserve">Saisie des temps</t>
  </si>
  <si>
    <t xml:space="preserve">Feuille de temps personnalisée par ressource, connectée aux projets et activités récurrentes.</t>
  </si>
  <si>
    <t xml:space="preserve">Dossier §5.1 : alimentation du réel</t>
  </si>
  <si>
    <t xml:space="preserve">PP-019</t>
  </si>
  <si>
    <t xml:space="preserve">Plan de charge temps réel</t>
  </si>
  <si>
    <t xml:space="preserve">Charge vs capacité par ressource/service/compétence ; détection des tensions ; répartition projet/maintenance/récurrent.</t>
  </si>
  <si>
    <t xml:space="preserve">PM + Sciforma</t>
  </si>
  <si>
    <t xml:space="preserve">Dossier §5.1/§6.1 : approche 'tout est projet'</t>
  </si>
  <si>
    <t xml:space="preserve">PP-020</t>
  </si>
  <si>
    <t xml:space="preserve">Registre des risques</t>
  </si>
  <si>
    <t xml:space="preserve">Risques et problèmes aux niveaux projet, programme et portefeuille, avec plans d'action.</t>
  </si>
  <si>
    <t xml:space="preserve">Dossier §5.1</t>
  </si>
  <si>
    <t xml:space="preserve">PP-021</t>
  </si>
  <si>
    <t xml:space="preserve">Revues et comités outillés</t>
  </si>
  <si>
    <t xml:space="preserve">Supports d'animation des instances (revues structurées, diaporama du portefeuille), décisions et comptes rendus actionnables.</t>
  </si>
  <si>
    <t xml:space="preserve">2/3 (PM, Sciforma) + Insight I9</t>
  </si>
  <si>
    <t xml:space="preserve">Dossier §5.1 + §8-I9</t>
  </si>
  <si>
    <t xml:space="preserve">PP-022</t>
  </si>
  <si>
    <t xml:space="preserve">Traçabilité des décisions</t>
  </si>
  <si>
    <t xml:space="preserve">Horodatage et historisation de tous les arbitrages, re-priorisations et décisions d'instance ; export pour contrôle (légalité, CRC).</t>
  </si>
  <si>
    <t xml:space="preserve">Insight I9</t>
  </si>
  <si>
    <t xml:space="preserve">Dossier §8-I9 : exigence démocratique</t>
  </si>
  <si>
    <t xml:space="preserve">PP-023</t>
  </si>
  <si>
    <t xml:space="preserve">Baselines et historisation</t>
  </si>
  <si>
    <t xml:space="preserve">Références figées (planning, budget), mesure des écarts, historique des modifications.</t>
  </si>
  <si>
    <t xml:space="preserve">2/3 (Sciforma, MS)</t>
  </si>
  <si>
    <t xml:space="preserve">Dossier §5.2</t>
  </si>
  <si>
    <t xml:space="preserve">PP-024</t>
  </si>
  <si>
    <t xml:space="preserve">Météo et indicateurs normalisés</t>
  </si>
  <si>
    <t xml:space="preserve">Indicateur synthétique d'état par projet (météo) remonté en portefeuille avec règles homogènes.</t>
  </si>
  <si>
    <t xml:space="preserve">Should</t>
  </si>
  <si>
    <t xml:space="preserve">PM généralisé</t>
  </si>
  <si>
    <t xml:space="preserve">Cahier PM EF-PIL-02</t>
  </si>
  <si>
    <t xml:space="preserve">S</t>
  </si>
  <si>
    <t xml:space="preserve">PP-025</t>
  </si>
  <si>
    <t xml:space="preserve">Continuum tâches-projets</t>
  </si>
  <si>
    <t xml:space="preserve">Tâches du quotidien (individuelles, d'équipe) reliées aux projets du portefeuille — capillarité terrain.</t>
  </si>
  <si>
    <t xml:space="preserve">MS généralisé + Insight I6</t>
  </si>
  <si>
    <t xml:space="preserve">Dossier §8-I6 : l'alimentation terrain décide du succès</t>
  </si>
  <si>
    <t xml:space="preserve">PP-026</t>
  </si>
  <si>
    <t xml:space="preserve">API et interfaces standardisées</t>
  </si>
  <si>
    <t xml:space="preserve">API ouvertes documentées ; connecteurs BI ; datamart de pilotage croisant PPM et données externes (finances, RH).</t>
  </si>
  <si>
    <t xml:space="preserve">PM (Datamart) + MS (Power BI)</t>
  </si>
  <si>
    <t xml:space="preserve">PP-027</t>
  </si>
  <si>
    <t xml:space="preserve">SSO et audit</t>
  </si>
  <si>
    <t xml:space="preserve">SSO (SAML/OIDC), MFA, journaux d'audit exportables.</t>
  </si>
  <si>
    <t xml:space="preserve">Cahiers des 3</t>
  </si>
  <si>
    <t xml:space="preserve">Cahiers ADM/SEC/GOV</t>
  </si>
  <si>
    <t xml:space="preserve">PP-028</t>
  </si>
  <si>
    <t xml:space="preserve">Classification des portefeuilles</t>
  </si>
  <si>
    <t xml:space="preserve">Classification de sensibilité des projets (sécurité, foncier, précontentieux) et alignement de l'hébergement par classe.</t>
  </si>
  <si>
    <t xml:space="preserve">Insight I4</t>
  </si>
  <si>
    <t xml:space="preserve">Dossier §8-I4 : doctrine 'cloud au centre'</t>
  </si>
  <si>
    <t xml:space="preserve">PP-029</t>
  </si>
  <si>
    <t xml:space="preserve">E10 Licences &amp; réversibilité</t>
  </si>
  <si>
    <t xml:space="preserve">Réversibilité contractuelle</t>
  </si>
  <si>
    <t xml:space="preserve">Export complet exploitable (projets, jalons, budgets, décisions, historique), testé pendant le POC ; clause de sortie.</t>
  </si>
  <si>
    <t xml:space="preserve">Insight I5 + B8</t>
  </si>
  <si>
    <t xml:space="preserve">Dossier §8-I5 : la vie d'un marché dépasse la stabilité des produits</t>
  </si>
  <si>
    <t xml:space="preserve">PP-030</t>
  </si>
  <si>
    <t xml:space="preserve">Garanties de pérennité</t>
  </si>
  <si>
    <t xml:space="preserve">Feuille de route engagée, préavis de retrait de fonctionnalités, protection tarifaire post-acquisition.</t>
  </si>
  <si>
    <t xml:space="preserve">Insight I5 (rachat Sciforma, retraite Project Online)</t>
  </si>
  <si>
    <t xml:space="preserve">Dossier §8-I5</t>
  </si>
  <si>
    <t xml:space="preserve">PP-031</t>
  </si>
  <si>
    <t xml:space="preserve">E07 IA &amp; agents</t>
  </si>
  <si>
    <t xml:space="preserve">IA de synthèse gouvernée</t>
  </si>
  <si>
    <t xml:space="preserve">Synthèses de pilotage et de comité par IA : localisation des traitements, traçabilité des productions, contrôle humain.</t>
  </si>
  <si>
    <t xml:space="preserve">Lot 3</t>
  </si>
  <si>
    <t xml:space="preserve">2/3 (VIA, Copilot) + Insight I7</t>
  </si>
  <si>
    <t xml:space="preserve">Dossier §5.2 + §8-I7</t>
  </si>
  <si>
    <t xml:space="preserve">PP-032</t>
  </si>
  <si>
    <t xml:space="preserve">Performance de consolidation</t>
  </si>
  <si>
    <t xml:space="preserve">Consolidation d'un portefeuille de 100+ projets en moins d'une minute ; répercussion instantanée des re-priorisations.</t>
  </si>
  <si>
    <t xml:space="preserve">Cahiers PM/Sciforma</t>
  </si>
  <si>
    <t xml:space="preserve">Cahiers ENF ; témoignages consolidations</t>
  </si>
  <si>
    <t xml:space="preserve">PP-033</t>
  </si>
  <si>
    <t xml:space="preserve">Administration sans code</t>
  </si>
  <si>
    <t xml:space="preserve">Administration fonctionnelle autonome : champs, formulaires, référentiels, organisation, modèles, libellés.</t>
  </si>
  <si>
    <t xml:space="preserve">Dossier §6.1 : autonomie = maîtrise du TCO</t>
  </si>
  <si>
    <t xml:space="preserve">PP-034</t>
  </si>
  <si>
    <t xml:space="preserve">Segmentation des licences</t>
  </si>
  <si>
    <t xml:space="preserve">Profils différenciés (consultation / contribution terrain / pilotage / PMO) avec tarification adaptée ; coût complet simulé par population.</t>
  </si>
  <si>
    <t xml:space="preserve">Insight I8</t>
  </si>
  <si>
    <t xml:space="preserve">Dossier §8-I8 : empilement MS ~60-70 $/util. documenté</t>
  </si>
  <si>
    <t xml:space="preserve">PP-035</t>
  </si>
  <si>
    <t xml:space="preserve">Hébergement France/UE</t>
  </si>
  <si>
    <t xml:space="preserve">Hébergement France ou UE documenté et contractualisé ; option souveraine pour les portefeuilles sensibles.</t>
  </si>
  <si>
    <t xml:space="preserve">Insight I4 + différenciant PM</t>
  </si>
  <si>
    <t xml:space="preserve">Dossier §8-I4</t>
  </si>
  <si>
    <t xml:space="preserve">PP-036</t>
  </si>
  <si>
    <t xml:space="preserve">Scénarios what-if</t>
  </si>
  <si>
    <t xml:space="preserve">Simulation multi-portefeuilles d'ajouts/reports/abandons avec impacts charge, budget, trésorerie ; comparaison de scénarios.</t>
  </si>
  <si>
    <t xml:space="preserve">P2</t>
  </si>
  <si>
    <t xml:space="preserve">Could</t>
  </si>
  <si>
    <t xml:space="preserve">Différenciant Sciforma</t>
  </si>
  <si>
    <t xml:space="preserve">Dossier §6.2 : la fonction reine de l'arbitrage</t>
  </si>
  <si>
    <t xml:space="preserve">PP-037</t>
  </si>
  <si>
    <t xml:space="preserve">Business cases dynamiques</t>
  </si>
  <si>
    <t xml:space="preserve">Dossiers de justification : coûts, bénéfices, risques, alignement ; comparaison de versions d'un projet.</t>
  </si>
  <si>
    <t xml:space="preserve">Dossier §6.2</t>
  </si>
  <si>
    <t xml:space="preserve">PP-038</t>
  </si>
  <si>
    <t xml:space="preserve">Gestion de programmes</t>
  </si>
  <si>
    <t xml:space="preserve">Programmes descendants : création et synchronisation de projets depuis un programme.</t>
  </si>
  <si>
    <t xml:space="preserve">PP-039</t>
  </si>
  <si>
    <t xml:space="preserve">Hybride cascade/agile</t>
  </si>
  <si>
    <t xml:space="preserve">Projets waterfall et agiles (sprints, objectifs) consolidés dans un même portefeuille de santé.</t>
  </si>
  <si>
    <t xml:space="preserve">Sciforma + MS</t>
  </si>
  <si>
    <t xml:space="preserve">PP-040</t>
  </si>
  <si>
    <t xml:space="preserve">Flux de trésorerie</t>
  </si>
  <si>
    <t xml:space="preserve">Projection de trésorerie par portefeuille ; répartition budgétaire pluriannuelle en un clic.</t>
  </si>
  <si>
    <t xml:space="preserve">PP-041</t>
  </si>
  <si>
    <t xml:space="preserve">Agent exécutant</t>
  </si>
  <si>
    <t xml:space="preserve">Agent IA membre d'équipe : assignation de tâches standard, rapports d'état générés, relances, plans à rebours (workback).</t>
  </si>
  <si>
    <t xml:space="preserve">Lot 4</t>
  </si>
  <si>
    <t xml:space="preserve">Différenciant MS (Project Manager agent)</t>
  </si>
  <si>
    <t xml:space="preserve">Dossier §6.3 : le plus abouti de la catégorie généraliste</t>
  </si>
  <si>
    <t xml:space="preserve">PP-042</t>
  </si>
  <si>
    <t xml:space="preserve">Réunions vers tâches</t>
  </si>
  <si>
    <t xml:space="preserve">Capture des décisions de réunion (transcriptions) et conversion en tâches synchronisées au plan.</t>
  </si>
  <si>
    <t xml:space="preserve">Différenciant MS (Facilitator)</t>
  </si>
  <si>
    <t xml:space="preserve">Dossier §6.3</t>
  </si>
  <si>
    <t xml:space="preserve">PP-043</t>
  </si>
  <si>
    <t xml:space="preserve">Étiquettes et DLP sur tâches</t>
  </si>
  <si>
    <t xml:space="preserve">Étiquettes de confidentialité au niveau tâche avec actions DLP (blocage copie/export/impression) suivant la tâche partout.</t>
  </si>
  <si>
    <t xml:space="preserve">Différenciant MS</t>
  </si>
  <si>
    <t xml:space="preserve">Dossier §6.3 : marqueur de conformité rare</t>
  </si>
  <si>
    <t xml:space="preserve">PP-044</t>
  </si>
  <si>
    <t xml:space="preserve">Intégration suite collaborative</t>
  </si>
  <si>
    <t xml:space="preserve">Onglets et notifications dans la messagerie d'équipe, tâches depuis les e-mails, réunions outillées.</t>
  </si>
  <si>
    <t xml:space="preserve">Dossier §6.3 : capillarité terrain</t>
  </si>
  <si>
    <t xml:space="preserve">PP-045</t>
  </si>
  <si>
    <t xml:space="preserve">Extensibilité low-code</t>
  </si>
  <si>
    <t xml:space="preserve">Extension par plateforme low-code : workflows, base de données, reporting décisionnel personnalisés.</t>
  </si>
  <si>
    <t xml:space="preserve">Différenciant MS (Power Platform)</t>
  </si>
  <si>
    <t xml:space="preserve">PP-046</t>
  </si>
  <si>
    <t xml:space="preserve">Option on-premise</t>
  </si>
  <si>
    <t xml:space="preserve">Installation sur site pour les organisations à contrainte de souveraineté maximale.</t>
  </si>
  <si>
    <t xml:space="preserve">Différenciant PM</t>
  </si>
  <si>
    <t xml:space="preserve">Dossier §6.1 ; devient Must si portefeuilles sensibles (cf. PP-028)</t>
  </si>
  <si>
    <t xml:space="preserve">PP-047</t>
  </si>
  <si>
    <t xml:space="preserve">IA souveraine</t>
  </si>
  <si>
    <t xml:space="preserve">Traitements IA hébergés en France/UE, modèles maîtrisés, positionnement 'souverain, fiable, transparent'.</t>
  </si>
  <si>
    <t xml:space="preserve">Différenciant PM (VIA)</t>
  </si>
  <si>
    <t xml:space="preserve">Dossier §6.1 + §8-I7</t>
  </si>
  <si>
    <t xml:space="preserve">PP-048</t>
  </si>
  <si>
    <t xml:space="preserve">Pilotage des plans stratégiques</t>
  </si>
  <si>
    <t xml:space="preserve">Prolongement du portefeuille vers les plans stratégiques et contrats d'objectifs (déclinaison, suivi, alignement).</t>
  </si>
  <si>
    <t xml:space="preserve">Différenciant Virage (Strat Monitor, toutes les ARS)</t>
  </si>
  <si>
    <t xml:space="preserve">Dossier §6.1</t>
  </si>
  <si>
    <t xml:space="preserve">PP-049</t>
  </si>
  <si>
    <t xml:space="preserve">Approche 'tout est projet'</t>
  </si>
  <si>
    <t xml:space="preserve">Suivi unifié projets / maintenance / activités récurrentes pour une vision complète de l'allocation.</t>
  </si>
  <si>
    <t xml:space="preserve">Dossier §6.1 ; conditionne la fiabilité de la capacité à faire (PP-015)</t>
  </si>
  <si>
    <t xml:space="preserve">PP-050</t>
  </si>
  <si>
    <t xml:space="preserve">Offre d'entrée incluse</t>
  </si>
  <si>
    <t xml:space="preserve">Niveau basique inclus dans une suite existante (coût d'entrée nul) avec montée en gamme par profil.</t>
  </si>
  <si>
    <t xml:space="preserve">PP-051</t>
  </si>
  <si>
    <t xml:space="preserve">Modularité par maturité</t>
  </si>
  <si>
    <t xml:space="preserve">Modules préinstallés activables progressivement selon la maturité du PMO.</t>
  </si>
  <si>
    <t xml:space="preserve">PP-052</t>
  </si>
  <si>
    <t xml:space="preserve">Accompagnement et communauté</t>
  </si>
  <si>
    <t xml:space="preserve">Offre d'accompagnement (implémentation, formation, conduite du changement) et communauté d'homologues (club utilisateurs).</t>
  </si>
  <si>
    <t xml:space="preserve">Différenciant PM (300 implémentations, PM Club)</t>
  </si>
  <si>
    <t xml:space="preserve">Dossier §6.1 + §8-I6 : conditionne la réussite</t>
  </si>
  <si>
    <t xml:space="preserve">PP-053</t>
  </si>
  <si>
    <t xml:space="preserve">E12 Innovation</t>
  </si>
  <si>
    <t xml:space="preserve">Lien commande publique</t>
  </si>
  <si>
    <t xml:space="preserve">Cycle des marchés rattaché aux projets : consultations, notifications, ordres de service, avenants, pénalités, échéances contractuelles, consolidés au portefeuille.</t>
  </si>
  <si>
    <t xml:space="preserve">P3</t>
  </si>
  <si>
    <t xml:space="preserve">Bonus B1</t>
  </si>
  <si>
    <t xml:space="preserve">Dossier §7-B1 : pour un adjudicateur, le projet EST souvent des marchés</t>
  </si>
  <si>
    <t xml:space="preserve">PP-054</t>
  </si>
  <si>
    <t xml:space="preserve">Suivi des subventions</t>
  </si>
  <si>
    <t xml:space="preserve">Plans de financement par projet (FEDER, DSIL, fonds vert), échéances de justification, taux de réalisation exigés, risque de reversement.</t>
  </si>
  <si>
    <t xml:space="preserve">Bonus B2</t>
  </si>
  <si>
    <t xml:space="preserve">Dossier §7-B2 : conditionne la trésorerie réelle</t>
  </si>
  <si>
    <t xml:space="preserve">PP-055</t>
  </si>
  <si>
    <t xml:space="preserve">Simulation AP/CP</t>
  </si>
  <si>
    <t xml:space="preserve">Scénarios budgétaires aux règles publiques : autorisations de programme / crédits de paiement, annualité, M57, virements d'enveloppes.</t>
  </si>
  <si>
    <t xml:space="preserve">Bonus B3</t>
  </si>
  <si>
    <t xml:space="preserve">Dossier §7-B3 : 'décaler un projet' doit recalculer les CP</t>
  </si>
  <si>
    <t xml:space="preserve">PP-056</t>
  </si>
  <si>
    <t xml:space="preserve">Livrables d'instance générés</t>
  </si>
  <si>
    <t xml:space="preserve">Génération des documents normés depuis le portefeuille : rapports d'orientation budgétaire, annexes PPI, délibérations types, rapports d'activité.</t>
  </si>
  <si>
    <t xml:space="preserve">Bonus B4</t>
  </si>
  <si>
    <t xml:space="preserve">Dossier §7-B4</t>
  </si>
  <si>
    <t xml:space="preserve">PP-057</t>
  </si>
  <si>
    <t xml:space="preserve">Portail de transparence</t>
  </si>
  <si>
    <t xml:space="preserve">Publication citoyenne de l'avancement des projets : carte, jalons, budgets consommés, open data.</t>
  </si>
  <si>
    <t xml:space="preserve">Bonus B5</t>
  </si>
  <si>
    <t xml:space="preserve">Dossier §7-B5 : redevabilité démocratique outillée</t>
  </si>
  <si>
    <t xml:space="preserve">PP-058</t>
  </si>
  <si>
    <t xml:space="preserve">Archivage probant</t>
  </si>
  <si>
    <t xml:space="preserve">Archivage normalisé (type SEDA) des décisions, versions et pièces d'arbitrage, à valeur probante.</t>
  </si>
  <si>
    <t xml:space="preserve">Bonus B6</t>
  </si>
  <si>
    <t xml:space="preserve">Dossier §7-B6 : contrôles de légalité et CRC</t>
  </si>
  <si>
    <t xml:space="preserve">PP-059</t>
  </si>
  <si>
    <t xml:space="preserve">Indicateurs de valeur publique</t>
  </si>
  <si>
    <t xml:space="preserve">Indicateurs d'impact (transition écologique, égalité territoriale, qualité de service) rattachés aux projets et consolidés en portefeuille.</t>
  </si>
  <si>
    <t xml:space="preserve">Bonus B7</t>
  </si>
  <si>
    <t xml:space="preserve">Dossier §7-B7 : le 'triple bilan' du portefeuille public</t>
  </si>
  <si>
    <t xml:space="preserve">PP-060</t>
  </si>
  <si>
    <t xml:space="preserve">Format d'échange ouvert</t>
  </si>
  <si>
    <t xml:space="preserve">Standard d'export/import de portefeuilles entre PPM (projets, jalons, budgets, décisions) — anti lock-in.</t>
  </si>
  <si>
    <t xml:space="preserve">Bonus B8</t>
  </si>
  <si>
    <t xml:space="preserve">Dossier §7-B8 : risque juridique pour l'acheteur soumis à remise en concurrence</t>
  </si>
  <si>
    <t xml:space="preserve">PP-061</t>
  </si>
  <si>
    <t xml:space="preserve">E13 Chantiers SI</t>
  </si>
  <si>
    <t xml:space="preserve">Articulation des familles</t>
  </si>
  <si>
    <t xml:space="preserve">Décider l'architecture cible : suite (terrain) + PPM (pilotage) avec interfaces, plutôt qu'une mise en concurrence frontale des familles.</t>
  </si>
  <si>
    <t xml:space="preserve">Insight I1</t>
  </si>
  <si>
    <t xml:space="preserve">Dossier §8-I1</t>
  </si>
  <si>
    <t xml:space="preserve">PP-062</t>
  </si>
  <si>
    <t xml:space="preserve">Cadrage SI financier</t>
  </si>
  <si>
    <t xml:space="preserve">Recenser les SI financiers cibles (M57, Coriolis, Grand Angle...) et faire de l'interface comptable un critère éliminatoire de la consultation.</t>
  </si>
  <si>
    <t xml:space="preserve">Insight I2</t>
  </si>
  <si>
    <t xml:space="preserve">Dossier §8-I2 : critère n°1</t>
  </si>
  <si>
    <t xml:space="preserve">PP-063</t>
  </si>
  <si>
    <t xml:space="preserve">Processus demande-arbitrage</t>
  </si>
  <si>
    <t xml:space="preserve">Formaliser le processus cible : demande -&gt; scoring -&gt; capacité -&gt; arbitrage tracé, avant le paramétrage de l'outil.</t>
  </si>
  <si>
    <t xml:space="preserve">Insight I3</t>
  </si>
  <si>
    <t xml:space="preserve">Dossier §8-I3</t>
  </si>
  <si>
    <t xml:space="preserve">PP-064</t>
  </si>
  <si>
    <t xml:space="preserve">Classification et hébergement</t>
  </si>
  <si>
    <t xml:space="preserve">Classer les portefeuilles par sensibilité et prescrire l'hébergement par classe (SaaS FR/UE, on-premise) dans la consultation.</t>
  </si>
  <si>
    <t xml:space="preserve">PP-065</t>
  </si>
  <si>
    <t xml:space="preserve">Clauses de pérennité</t>
  </si>
  <si>
    <t xml:space="preserve">Intégrer au marché : feuille de route, préavis de retrait, réversibilité testée, protection tarifaire post-acquisition, plan de migration (échéance Project Online 30/09/2026 le cas échéant).</t>
  </si>
  <si>
    <t xml:space="preserve">Insight I5</t>
  </si>
  <si>
    <t xml:space="preserve">PP-066</t>
  </si>
  <si>
    <t xml:space="preserve">Conduite du changement</t>
  </si>
  <si>
    <t xml:space="preserve">Budgéter et planifier l'accompagnement (formation, animation PMO, communauté) au même rang que les licences.</t>
  </si>
  <si>
    <t xml:space="preserve">Insight I6 + I8</t>
  </si>
  <si>
    <t xml:space="preserve">Dossier §8-I6/I8 : l'alimentation terrain décide du succès</t>
  </si>
  <si>
    <t xml:space="preserve">PP-067</t>
  </si>
  <si>
    <t xml:space="preserve">Gouvernance de l'IA de pilotage</t>
  </si>
  <si>
    <t xml:space="preserve">Encadrer l'IA : localisation des traitements, traçabilité des synthèses, contrôle humain sur toute décision, information des instances.</t>
  </si>
  <si>
    <t xml:space="preserve">Insight I7</t>
  </si>
  <si>
    <t xml:space="preserve">Dossier §8-I7</t>
  </si>
  <si>
    <t xml:space="preserve">PP-068</t>
  </si>
  <si>
    <t xml:space="preserve">TCO par population</t>
  </si>
  <si>
    <t xml:space="preserve">Chiffrer le coût complet sur la durée du marché par population d'utilisateurs (consultation/terrain/pilotage/PMO), accompagnement inclus.</t>
  </si>
  <si>
    <t xml:space="preserve">Dossier §8-I8</t>
  </si>
  <si>
    <t xml:space="preserve">PP-069</t>
  </si>
  <si>
    <t xml:space="preserve">Traçabilité réglementaire</t>
  </si>
  <si>
    <t xml:space="preserve">Définir la politique de traçabilité et d'archivage des décisions d'arbitrage (contrôle de légalité, CRC), et l'exiger de l'outil.</t>
  </si>
  <si>
    <t xml:space="preserve">Dossier §8-I9</t>
  </si>
  <si>
    <t xml:space="preserve">PP-070</t>
  </si>
  <si>
    <t xml:space="preserve">Audit RGAA</t>
  </si>
  <si>
    <t xml:space="preserve">Faire auditer la conformité RGAA de l'outil retenu et publier la déclaration d'accessibilité.</t>
  </si>
  <si>
    <t xml:space="preserve">Contexte public FR</t>
  </si>
  <si>
    <t xml:space="preserve">Obligation légale ; prolonge PP-012</t>
  </si>
  <si>
    <t xml:space="preserve">Synthèse du backlog</t>
  </si>
  <si>
    <t xml:space="preserve">Par priorité</t>
  </si>
  <si>
    <t xml:space="preserve">Nombre</t>
  </si>
  <si>
    <t xml:space="preserve">Par lot</t>
  </si>
  <si>
    <t xml:space="preserve">P0 — Socle (3/3)</t>
  </si>
  <si>
    <t xml:space="preserve">Total</t>
  </si>
  <si>
    <t xml:space="preserve">Par épique</t>
  </si>
  <si>
    <t xml:space="preserve">Items</t>
  </si>
  <si>
    <t xml:space="preserve">dont Must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</si>
</sst>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2"/>
  </cols>
  <sheetData>
    <row r="1" customFormat="false" ht="111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/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23.85" hidden="false" customHeight="false" outlineLevel="0" collapsed="false">
      <c r="A6" s="2" t="s">
        <v>6</v>
      </c>
      <c r="B6" s="2" t="s">
        <v>7</v>
      </c>
    </row>
    <row r="7" customFormat="false" ht="23.85" hidden="false" customHeight="false" outlineLevel="0" collapsed="false">
      <c r="A7" s="2" t="s">
        <v>8</v>
      </c>
      <c r="B7" s="2" t="s">
        <v>9</v>
      </c>
    </row>
    <row r="8" customFormat="false" ht="23.8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12</v>
      </c>
      <c r="B10" s="2"/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</row>
    <row r="14" customFormat="false" ht="15" hidden="false" customHeight="false" outlineLevel="0" collapsed="false">
      <c r="A14" s="2"/>
      <c r="B14" s="2"/>
    </row>
    <row r="15" customFormat="false" ht="23.8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21</v>
      </c>
      <c r="B17" s="2" t="n">
        <f aca="false">COUNTA(Backlog!A2:A200)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2"/>
    <col collapsed="false" customWidth="true" hidden="false" outlineLevel="0" max="7" min="5" style="0" width="9"/>
    <col collapsed="false" customWidth="true" hidden="false" outlineLevel="0" max="8" min="8" style="0" width="36"/>
    <col collapsed="false" customWidth="true" hidden="false" outlineLevel="0" max="9" min="9" style="0" width="50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13</v>
      </c>
      <c r="I1" s="4" t="s">
        <v>29</v>
      </c>
      <c r="J1" s="4" t="s">
        <v>15</v>
      </c>
    </row>
    <row r="2" customFormat="false" ht="23.85" hidden="false" customHeight="fals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6" t="s">
        <v>34</v>
      </c>
      <c r="F2" s="7" t="s">
        <v>35</v>
      </c>
      <c r="G2" s="7" t="s">
        <v>36</v>
      </c>
      <c r="H2" s="5" t="s">
        <v>37</v>
      </c>
      <c r="I2" s="5" t="s">
        <v>38</v>
      </c>
      <c r="J2" s="7" t="s">
        <v>39</v>
      </c>
    </row>
    <row r="3" customFormat="false" ht="23.85" hidden="false" customHeight="false" outlineLevel="0" collapsed="false">
      <c r="A3" s="5" t="s">
        <v>40</v>
      </c>
      <c r="B3" s="5" t="s">
        <v>31</v>
      </c>
      <c r="C3" s="5" t="s">
        <v>41</v>
      </c>
      <c r="D3" s="5" t="s">
        <v>42</v>
      </c>
      <c r="E3" s="6" t="s">
        <v>34</v>
      </c>
      <c r="F3" s="7" t="s">
        <v>35</v>
      </c>
      <c r="G3" s="7" t="s">
        <v>36</v>
      </c>
      <c r="H3" s="5" t="s">
        <v>37</v>
      </c>
      <c r="I3" s="5" t="s">
        <v>43</v>
      </c>
      <c r="J3" s="7" t="s">
        <v>44</v>
      </c>
    </row>
    <row r="4" customFormat="false" ht="23.85" hidden="false" customHeight="false" outlineLevel="0" collapsed="false">
      <c r="A4" s="5" t="s">
        <v>45</v>
      </c>
      <c r="B4" s="5" t="s">
        <v>31</v>
      </c>
      <c r="C4" s="5" t="s">
        <v>46</v>
      </c>
      <c r="D4" s="5" t="s">
        <v>47</v>
      </c>
      <c r="E4" s="6" t="s">
        <v>34</v>
      </c>
      <c r="F4" s="7" t="s">
        <v>35</v>
      </c>
      <c r="G4" s="7" t="s">
        <v>36</v>
      </c>
      <c r="H4" s="5" t="s">
        <v>37</v>
      </c>
      <c r="I4" s="5" t="s">
        <v>43</v>
      </c>
      <c r="J4" s="7" t="s">
        <v>44</v>
      </c>
    </row>
    <row r="5" customFormat="false" ht="23.85" hidden="false" customHeight="false" outlineLevel="0" collapsed="false">
      <c r="A5" s="5" t="s">
        <v>48</v>
      </c>
      <c r="B5" s="5" t="s">
        <v>49</v>
      </c>
      <c r="C5" s="5" t="s">
        <v>50</v>
      </c>
      <c r="D5" s="5" t="s">
        <v>51</v>
      </c>
      <c r="E5" s="6" t="s">
        <v>34</v>
      </c>
      <c r="F5" s="7" t="s">
        <v>35</v>
      </c>
      <c r="G5" s="7" t="s">
        <v>36</v>
      </c>
      <c r="H5" s="5" t="s">
        <v>37</v>
      </c>
      <c r="I5" s="5" t="s">
        <v>43</v>
      </c>
      <c r="J5" s="7" t="s">
        <v>39</v>
      </c>
    </row>
    <row r="6" customFormat="false" ht="23.85" hidden="false" customHeight="false" outlineLevel="0" collapsed="false">
      <c r="A6" s="5" t="s">
        <v>52</v>
      </c>
      <c r="B6" s="5" t="s">
        <v>31</v>
      </c>
      <c r="C6" s="5" t="s">
        <v>53</v>
      </c>
      <c r="D6" s="5" t="s">
        <v>54</v>
      </c>
      <c r="E6" s="6" t="s">
        <v>34</v>
      </c>
      <c r="F6" s="7" t="s">
        <v>35</v>
      </c>
      <c r="G6" s="7" t="s">
        <v>36</v>
      </c>
      <c r="H6" s="5" t="s">
        <v>37</v>
      </c>
      <c r="I6" s="5" t="s">
        <v>43</v>
      </c>
      <c r="J6" s="7" t="s">
        <v>44</v>
      </c>
    </row>
    <row r="7" customFormat="false" ht="23.85" hidden="false" customHeight="false" outlineLevel="0" collapsed="false">
      <c r="A7" s="5" t="s">
        <v>55</v>
      </c>
      <c r="B7" s="5" t="s">
        <v>49</v>
      </c>
      <c r="C7" s="5" t="s">
        <v>56</v>
      </c>
      <c r="D7" s="5" t="s">
        <v>57</v>
      </c>
      <c r="E7" s="6" t="s">
        <v>34</v>
      </c>
      <c r="F7" s="7" t="s">
        <v>35</v>
      </c>
      <c r="G7" s="7" t="s">
        <v>36</v>
      </c>
      <c r="H7" s="5" t="s">
        <v>37</v>
      </c>
      <c r="I7" s="5" t="s">
        <v>43</v>
      </c>
      <c r="J7" s="7" t="s">
        <v>39</v>
      </c>
    </row>
    <row r="8" customFormat="false" ht="15" hidden="false" customHeight="false" outlineLevel="0" collapsed="false">
      <c r="A8" s="5" t="s">
        <v>58</v>
      </c>
      <c r="B8" s="5" t="s">
        <v>59</v>
      </c>
      <c r="C8" s="5" t="s">
        <v>60</v>
      </c>
      <c r="D8" s="5" t="s">
        <v>61</v>
      </c>
      <c r="E8" s="6" t="s">
        <v>34</v>
      </c>
      <c r="F8" s="7" t="s">
        <v>35</v>
      </c>
      <c r="G8" s="7" t="s">
        <v>36</v>
      </c>
      <c r="H8" s="5" t="s">
        <v>37</v>
      </c>
      <c r="I8" s="5" t="s">
        <v>43</v>
      </c>
      <c r="J8" s="7" t="s">
        <v>39</v>
      </c>
    </row>
    <row r="9" customFormat="false" ht="15" hidden="false" customHeight="false" outlineLevel="0" collapsed="false">
      <c r="A9" s="5" t="s">
        <v>62</v>
      </c>
      <c r="B9" s="5" t="s">
        <v>63</v>
      </c>
      <c r="C9" s="5" t="s">
        <v>64</v>
      </c>
      <c r="D9" s="5" t="s">
        <v>65</v>
      </c>
      <c r="E9" s="6" t="s">
        <v>34</v>
      </c>
      <c r="F9" s="7" t="s">
        <v>35</v>
      </c>
      <c r="G9" s="7" t="s">
        <v>36</v>
      </c>
      <c r="H9" s="5" t="s">
        <v>37</v>
      </c>
      <c r="I9" s="5" t="s">
        <v>43</v>
      </c>
      <c r="J9" s="7" t="s">
        <v>44</v>
      </c>
    </row>
    <row r="10" customFormat="false" ht="15" hidden="false" customHeight="false" outlineLevel="0" collapsed="false">
      <c r="A10" s="5" t="s">
        <v>66</v>
      </c>
      <c r="B10" s="5" t="s">
        <v>67</v>
      </c>
      <c r="C10" s="5" t="s">
        <v>68</v>
      </c>
      <c r="D10" s="5" t="s">
        <v>69</v>
      </c>
      <c r="E10" s="6" t="s">
        <v>34</v>
      </c>
      <c r="F10" s="7" t="s">
        <v>35</v>
      </c>
      <c r="G10" s="7" t="s">
        <v>36</v>
      </c>
      <c r="H10" s="5" t="s">
        <v>37</v>
      </c>
      <c r="I10" s="5" t="s">
        <v>43</v>
      </c>
      <c r="J10" s="7" t="s">
        <v>44</v>
      </c>
    </row>
    <row r="11" customFormat="false" ht="23.85" hidden="false" customHeight="false" outlineLevel="0" collapsed="false">
      <c r="A11" s="5" t="s">
        <v>70</v>
      </c>
      <c r="B11" s="5" t="s">
        <v>71</v>
      </c>
      <c r="C11" s="5" t="s">
        <v>72</v>
      </c>
      <c r="D11" s="5" t="s">
        <v>73</v>
      </c>
      <c r="E11" s="6" t="s">
        <v>34</v>
      </c>
      <c r="F11" s="7" t="s">
        <v>35</v>
      </c>
      <c r="G11" s="7" t="s">
        <v>36</v>
      </c>
      <c r="H11" s="5" t="s">
        <v>37</v>
      </c>
      <c r="I11" s="5" t="s">
        <v>43</v>
      </c>
      <c r="J11" s="7" t="s">
        <v>39</v>
      </c>
    </row>
    <row r="12" customFormat="false" ht="23.85" hidden="false" customHeight="false" outlineLevel="0" collapsed="false">
      <c r="A12" s="5" t="s">
        <v>74</v>
      </c>
      <c r="B12" s="5" t="s">
        <v>75</v>
      </c>
      <c r="C12" s="5" t="s">
        <v>76</v>
      </c>
      <c r="D12" s="5" t="s">
        <v>77</v>
      </c>
      <c r="E12" s="6" t="s">
        <v>34</v>
      </c>
      <c r="F12" s="7" t="s">
        <v>35</v>
      </c>
      <c r="G12" s="7" t="s">
        <v>36</v>
      </c>
      <c r="H12" s="5" t="s">
        <v>78</v>
      </c>
      <c r="I12" s="5" t="s">
        <v>79</v>
      </c>
      <c r="J12" s="7" t="s">
        <v>39</v>
      </c>
    </row>
    <row r="13" customFormat="false" ht="23.85" hidden="false" customHeight="false" outlineLevel="0" collapsed="false">
      <c r="A13" s="5" t="s">
        <v>80</v>
      </c>
      <c r="B13" s="5" t="s">
        <v>75</v>
      </c>
      <c r="C13" s="5" t="s">
        <v>81</v>
      </c>
      <c r="D13" s="5" t="s">
        <v>82</v>
      </c>
      <c r="E13" s="6" t="s">
        <v>34</v>
      </c>
      <c r="F13" s="7" t="s">
        <v>35</v>
      </c>
      <c r="G13" s="7" t="s">
        <v>36</v>
      </c>
      <c r="H13" s="5" t="s">
        <v>83</v>
      </c>
      <c r="I13" s="5" t="s">
        <v>84</v>
      </c>
      <c r="J13" s="7" t="s">
        <v>39</v>
      </c>
    </row>
    <row r="14" customFormat="false" ht="23.85" hidden="false" customHeight="false" outlineLevel="0" collapsed="false">
      <c r="A14" s="5" t="s">
        <v>85</v>
      </c>
      <c r="B14" s="5" t="s">
        <v>86</v>
      </c>
      <c r="C14" s="5" t="s">
        <v>87</v>
      </c>
      <c r="D14" s="5" t="s">
        <v>88</v>
      </c>
      <c r="E14" s="8" t="s">
        <v>89</v>
      </c>
      <c r="F14" s="7" t="s">
        <v>35</v>
      </c>
      <c r="G14" s="7" t="s">
        <v>90</v>
      </c>
      <c r="H14" s="5" t="s">
        <v>91</v>
      </c>
      <c r="I14" s="5" t="s">
        <v>92</v>
      </c>
      <c r="J14" s="7" t="s">
        <v>39</v>
      </c>
    </row>
    <row r="15" customFormat="false" ht="23.85" hidden="false" customHeight="false" outlineLevel="0" collapsed="false">
      <c r="A15" s="5" t="s">
        <v>93</v>
      </c>
      <c r="B15" s="5" t="s">
        <v>86</v>
      </c>
      <c r="C15" s="5" t="s">
        <v>94</v>
      </c>
      <c r="D15" s="5" t="s">
        <v>95</v>
      </c>
      <c r="E15" s="8" t="s">
        <v>89</v>
      </c>
      <c r="F15" s="7" t="s">
        <v>35</v>
      </c>
      <c r="G15" s="7" t="s">
        <v>90</v>
      </c>
      <c r="H15" s="5" t="s">
        <v>96</v>
      </c>
      <c r="I15" s="5" t="s">
        <v>97</v>
      </c>
      <c r="J15" s="7" t="s">
        <v>44</v>
      </c>
    </row>
    <row r="16" customFormat="false" ht="23.85" hidden="false" customHeight="false" outlineLevel="0" collapsed="false">
      <c r="A16" s="5" t="s">
        <v>98</v>
      </c>
      <c r="B16" s="5" t="s">
        <v>86</v>
      </c>
      <c r="C16" s="5" t="s">
        <v>99</v>
      </c>
      <c r="D16" s="5" t="s">
        <v>100</v>
      </c>
      <c r="E16" s="8" t="s">
        <v>89</v>
      </c>
      <c r="F16" s="7" t="s">
        <v>35</v>
      </c>
      <c r="G16" s="7" t="s">
        <v>90</v>
      </c>
      <c r="H16" s="5" t="s">
        <v>101</v>
      </c>
      <c r="I16" s="5" t="s">
        <v>102</v>
      </c>
      <c r="J16" s="7" t="s">
        <v>103</v>
      </c>
    </row>
    <row r="17" customFormat="false" ht="23.85" hidden="false" customHeight="false" outlineLevel="0" collapsed="false">
      <c r="A17" s="5" t="s">
        <v>104</v>
      </c>
      <c r="B17" s="5" t="s">
        <v>63</v>
      </c>
      <c r="C17" s="5" t="s">
        <v>105</v>
      </c>
      <c r="D17" s="5" t="s">
        <v>106</v>
      </c>
      <c r="E17" s="8" t="s">
        <v>89</v>
      </c>
      <c r="F17" s="7" t="s">
        <v>35</v>
      </c>
      <c r="G17" s="7" t="s">
        <v>90</v>
      </c>
      <c r="H17" s="5" t="s">
        <v>96</v>
      </c>
      <c r="I17" s="5" t="s">
        <v>107</v>
      </c>
      <c r="J17" s="7" t="s">
        <v>39</v>
      </c>
    </row>
    <row r="18" customFormat="false" ht="23.85" hidden="false" customHeight="false" outlineLevel="0" collapsed="false">
      <c r="A18" s="5" t="s">
        <v>108</v>
      </c>
      <c r="B18" s="5" t="s">
        <v>109</v>
      </c>
      <c r="C18" s="5" t="s">
        <v>110</v>
      </c>
      <c r="D18" s="5" t="s">
        <v>111</v>
      </c>
      <c r="E18" s="8" t="s">
        <v>89</v>
      </c>
      <c r="F18" s="7" t="s">
        <v>35</v>
      </c>
      <c r="G18" s="7" t="s">
        <v>90</v>
      </c>
      <c r="H18" s="5" t="s">
        <v>112</v>
      </c>
      <c r="I18" s="5" t="s">
        <v>113</v>
      </c>
      <c r="J18" s="7" t="s">
        <v>103</v>
      </c>
    </row>
    <row r="19" customFormat="false" ht="23.85" hidden="false" customHeight="false" outlineLevel="0" collapsed="false">
      <c r="A19" s="5" t="s">
        <v>114</v>
      </c>
      <c r="B19" s="5" t="s">
        <v>59</v>
      </c>
      <c r="C19" s="5" t="s">
        <v>115</v>
      </c>
      <c r="D19" s="5" t="s">
        <v>116</v>
      </c>
      <c r="E19" s="8" t="s">
        <v>89</v>
      </c>
      <c r="F19" s="7" t="s">
        <v>35</v>
      </c>
      <c r="G19" s="7" t="s">
        <v>90</v>
      </c>
      <c r="H19" s="5" t="s">
        <v>96</v>
      </c>
      <c r="I19" s="5" t="s">
        <v>117</v>
      </c>
      <c r="J19" s="7" t="s">
        <v>39</v>
      </c>
    </row>
    <row r="20" customFormat="false" ht="23.85" hidden="false" customHeight="false" outlineLevel="0" collapsed="false">
      <c r="A20" s="5" t="s">
        <v>118</v>
      </c>
      <c r="B20" s="5" t="s">
        <v>59</v>
      </c>
      <c r="C20" s="5" t="s">
        <v>119</v>
      </c>
      <c r="D20" s="5" t="s">
        <v>120</v>
      </c>
      <c r="E20" s="8" t="s">
        <v>89</v>
      </c>
      <c r="F20" s="7" t="s">
        <v>35</v>
      </c>
      <c r="G20" s="7" t="s">
        <v>90</v>
      </c>
      <c r="H20" s="5" t="s">
        <v>121</v>
      </c>
      <c r="I20" s="5" t="s">
        <v>122</v>
      </c>
      <c r="J20" s="7" t="s">
        <v>39</v>
      </c>
    </row>
    <row r="21" customFormat="false" ht="23.85" hidden="false" customHeight="false" outlineLevel="0" collapsed="false">
      <c r="A21" s="5" t="s">
        <v>123</v>
      </c>
      <c r="B21" s="5" t="s">
        <v>71</v>
      </c>
      <c r="C21" s="5" t="s">
        <v>124</v>
      </c>
      <c r="D21" s="5" t="s">
        <v>125</v>
      </c>
      <c r="E21" s="8" t="s">
        <v>89</v>
      </c>
      <c r="F21" s="7" t="s">
        <v>35</v>
      </c>
      <c r="G21" s="7" t="s">
        <v>90</v>
      </c>
      <c r="H21" s="5" t="s">
        <v>96</v>
      </c>
      <c r="I21" s="5" t="s">
        <v>126</v>
      </c>
      <c r="J21" s="7" t="s">
        <v>44</v>
      </c>
    </row>
    <row r="22" customFormat="false" ht="23.85" hidden="false" customHeight="false" outlineLevel="0" collapsed="false">
      <c r="A22" s="5" t="s">
        <v>127</v>
      </c>
      <c r="B22" s="5" t="s">
        <v>49</v>
      </c>
      <c r="C22" s="5" t="s">
        <v>128</v>
      </c>
      <c r="D22" s="5" t="s">
        <v>129</v>
      </c>
      <c r="E22" s="8" t="s">
        <v>89</v>
      </c>
      <c r="F22" s="7" t="s">
        <v>35</v>
      </c>
      <c r="G22" s="7" t="s">
        <v>90</v>
      </c>
      <c r="H22" s="5" t="s">
        <v>130</v>
      </c>
      <c r="I22" s="5" t="s">
        <v>131</v>
      </c>
      <c r="J22" s="7" t="s">
        <v>39</v>
      </c>
    </row>
    <row r="23" customFormat="false" ht="23.85" hidden="false" customHeight="false" outlineLevel="0" collapsed="false">
      <c r="A23" s="5" t="s">
        <v>132</v>
      </c>
      <c r="B23" s="5" t="s">
        <v>71</v>
      </c>
      <c r="C23" s="5" t="s">
        <v>133</v>
      </c>
      <c r="D23" s="5" t="s">
        <v>134</v>
      </c>
      <c r="E23" s="8" t="s">
        <v>89</v>
      </c>
      <c r="F23" s="7" t="s">
        <v>35</v>
      </c>
      <c r="G23" s="7" t="s">
        <v>90</v>
      </c>
      <c r="H23" s="5" t="s">
        <v>135</v>
      </c>
      <c r="I23" s="5" t="s">
        <v>136</v>
      </c>
      <c r="J23" s="7" t="s">
        <v>39</v>
      </c>
    </row>
    <row r="24" customFormat="false" ht="23.85" hidden="false" customHeight="false" outlineLevel="0" collapsed="false">
      <c r="A24" s="5" t="s">
        <v>137</v>
      </c>
      <c r="B24" s="5" t="s">
        <v>31</v>
      </c>
      <c r="C24" s="5" t="s">
        <v>138</v>
      </c>
      <c r="D24" s="5" t="s">
        <v>139</v>
      </c>
      <c r="E24" s="8" t="s">
        <v>89</v>
      </c>
      <c r="F24" s="7" t="s">
        <v>35</v>
      </c>
      <c r="G24" s="7" t="s">
        <v>90</v>
      </c>
      <c r="H24" s="5" t="s">
        <v>140</v>
      </c>
      <c r="I24" s="5" t="s">
        <v>141</v>
      </c>
      <c r="J24" s="7" t="s">
        <v>44</v>
      </c>
    </row>
    <row r="25" customFormat="false" ht="23.85" hidden="false" customHeight="false" outlineLevel="0" collapsed="false">
      <c r="A25" s="5" t="s">
        <v>142</v>
      </c>
      <c r="B25" s="5" t="s">
        <v>49</v>
      </c>
      <c r="C25" s="5" t="s">
        <v>143</v>
      </c>
      <c r="D25" s="5" t="s">
        <v>144</v>
      </c>
      <c r="E25" s="8" t="s">
        <v>89</v>
      </c>
      <c r="F25" s="7" t="s">
        <v>145</v>
      </c>
      <c r="G25" s="7" t="s">
        <v>36</v>
      </c>
      <c r="H25" s="5" t="s">
        <v>146</v>
      </c>
      <c r="I25" s="5" t="s">
        <v>147</v>
      </c>
      <c r="J25" s="7" t="s">
        <v>148</v>
      </c>
    </row>
    <row r="26" customFormat="false" ht="23.85" hidden="false" customHeight="false" outlineLevel="0" collapsed="false">
      <c r="A26" s="5" t="s">
        <v>149</v>
      </c>
      <c r="B26" s="5" t="s">
        <v>67</v>
      </c>
      <c r="C26" s="5" t="s">
        <v>150</v>
      </c>
      <c r="D26" s="5" t="s">
        <v>151</v>
      </c>
      <c r="E26" s="8" t="s">
        <v>89</v>
      </c>
      <c r="F26" s="7" t="s">
        <v>145</v>
      </c>
      <c r="G26" s="7" t="s">
        <v>90</v>
      </c>
      <c r="H26" s="5" t="s">
        <v>152</v>
      </c>
      <c r="I26" s="5" t="s">
        <v>153</v>
      </c>
      <c r="J26" s="7" t="s">
        <v>103</v>
      </c>
    </row>
    <row r="27" customFormat="false" ht="23.85" hidden="false" customHeight="false" outlineLevel="0" collapsed="false">
      <c r="A27" s="5" t="s">
        <v>154</v>
      </c>
      <c r="B27" s="5" t="s">
        <v>109</v>
      </c>
      <c r="C27" s="5" t="s">
        <v>155</v>
      </c>
      <c r="D27" s="5" t="s">
        <v>156</v>
      </c>
      <c r="E27" s="8" t="s">
        <v>89</v>
      </c>
      <c r="F27" s="7" t="s">
        <v>35</v>
      </c>
      <c r="G27" s="7" t="s">
        <v>90</v>
      </c>
      <c r="H27" s="5" t="s">
        <v>157</v>
      </c>
      <c r="I27" s="5" t="s">
        <v>141</v>
      </c>
      <c r="J27" s="7" t="s">
        <v>39</v>
      </c>
    </row>
    <row r="28" customFormat="false" ht="15" hidden="false" customHeight="false" outlineLevel="0" collapsed="false">
      <c r="A28" s="5" t="s">
        <v>158</v>
      </c>
      <c r="B28" s="5" t="s">
        <v>71</v>
      </c>
      <c r="C28" s="5" t="s">
        <v>159</v>
      </c>
      <c r="D28" s="5" t="s">
        <v>160</v>
      </c>
      <c r="E28" s="8" t="s">
        <v>89</v>
      </c>
      <c r="F28" s="7" t="s">
        <v>35</v>
      </c>
      <c r="G28" s="7" t="s">
        <v>90</v>
      </c>
      <c r="H28" s="5" t="s">
        <v>161</v>
      </c>
      <c r="I28" s="5" t="s">
        <v>162</v>
      </c>
      <c r="J28" s="7" t="s">
        <v>44</v>
      </c>
    </row>
    <row r="29" customFormat="false" ht="23.85" hidden="false" customHeight="false" outlineLevel="0" collapsed="false">
      <c r="A29" s="5" t="s">
        <v>163</v>
      </c>
      <c r="B29" s="5" t="s">
        <v>71</v>
      </c>
      <c r="C29" s="5" t="s">
        <v>164</v>
      </c>
      <c r="D29" s="5" t="s">
        <v>165</v>
      </c>
      <c r="E29" s="8" t="s">
        <v>89</v>
      </c>
      <c r="F29" s="7" t="s">
        <v>35</v>
      </c>
      <c r="G29" s="7" t="s">
        <v>90</v>
      </c>
      <c r="H29" s="5" t="s">
        <v>166</v>
      </c>
      <c r="I29" s="5" t="s">
        <v>167</v>
      </c>
      <c r="J29" s="7" t="s">
        <v>44</v>
      </c>
    </row>
    <row r="30" customFormat="false" ht="23.85" hidden="false" customHeight="false" outlineLevel="0" collapsed="false">
      <c r="A30" s="5" t="s">
        <v>168</v>
      </c>
      <c r="B30" s="5" t="s">
        <v>169</v>
      </c>
      <c r="C30" s="5" t="s">
        <v>170</v>
      </c>
      <c r="D30" s="5" t="s">
        <v>171</v>
      </c>
      <c r="E30" s="8" t="s">
        <v>89</v>
      </c>
      <c r="F30" s="7" t="s">
        <v>35</v>
      </c>
      <c r="G30" s="7" t="s">
        <v>36</v>
      </c>
      <c r="H30" s="5" t="s">
        <v>172</v>
      </c>
      <c r="I30" s="5" t="s">
        <v>173</v>
      </c>
      <c r="J30" s="7" t="s">
        <v>44</v>
      </c>
    </row>
    <row r="31" customFormat="false" ht="23.85" hidden="false" customHeight="false" outlineLevel="0" collapsed="false">
      <c r="A31" s="5" t="s">
        <v>174</v>
      </c>
      <c r="B31" s="5" t="s">
        <v>169</v>
      </c>
      <c r="C31" s="5" t="s">
        <v>175</v>
      </c>
      <c r="D31" s="5" t="s">
        <v>176</v>
      </c>
      <c r="E31" s="8" t="s">
        <v>89</v>
      </c>
      <c r="F31" s="7" t="s">
        <v>35</v>
      </c>
      <c r="G31" s="7" t="s">
        <v>36</v>
      </c>
      <c r="H31" s="5" t="s">
        <v>177</v>
      </c>
      <c r="I31" s="5" t="s">
        <v>178</v>
      </c>
      <c r="J31" s="7" t="s">
        <v>148</v>
      </c>
    </row>
    <row r="32" customFormat="false" ht="23.85" hidden="false" customHeight="false" outlineLevel="0" collapsed="false">
      <c r="A32" s="5" t="s">
        <v>179</v>
      </c>
      <c r="B32" s="5" t="s">
        <v>180</v>
      </c>
      <c r="C32" s="5" t="s">
        <v>181</v>
      </c>
      <c r="D32" s="5" t="s">
        <v>182</v>
      </c>
      <c r="E32" s="8" t="s">
        <v>89</v>
      </c>
      <c r="F32" s="7" t="s">
        <v>145</v>
      </c>
      <c r="G32" s="7" t="s">
        <v>183</v>
      </c>
      <c r="H32" s="5" t="s">
        <v>184</v>
      </c>
      <c r="I32" s="5" t="s">
        <v>185</v>
      </c>
      <c r="J32" s="7" t="s">
        <v>39</v>
      </c>
    </row>
    <row r="33" customFormat="false" ht="23.85" hidden="false" customHeight="false" outlineLevel="0" collapsed="false">
      <c r="A33" s="5" t="s">
        <v>186</v>
      </c>
      <c r="B33" s="5" t="s">
        <v>75</v>
      </c>
      <c r="C33" s="5" t="s">
        <v>187</v>
      </c>
      <c r="D33" s="5" t="s">
        <v>188</v>
      </c>
      <c r="E33" s="8" t="s">
        <v>89</v>
      </c>
      <c r="F33" s="7" t="s">
        <v>35</v>
      </c>
      <c r="G33" s="7" t="s">
        <v>90</v>
      </c>
      <c r="H33" s="5" t="s">
        <v>189</v>
      </c>
      <c r="I33" s="5" t="s">
        <v>190</v>
      </c>
      <c r="J33" s="7" t="s">
        <v>39</v>
      </c>
    </row>
    <row r="34" customFormat="false" ht="23.85" hidden="false" customHeight="false" outlineLevel="0" collapsed="false">
      <c r="A34" s="5" t="s">
        <v>191</v>
      </c>
      <c r="B34" s="5" t="s">
        <v>75</v>
      </c>
      <c r="C34" s="5" t="s">
        <v>192</v>
      </c>
      <c r="D34" s="5" t="s">
        <v>193</v>
      </c>
      <c r="E34" s="8" t="s">
        <v>89</v>
      </c>
      <c r="F34" s="7" t="s">
        <v>145</v>
      </c>
      <c r="G34" s="7" t="s">
        <v>90</v>
      </c>
      <c r="H34" s="5" t="s">
        <v>146</v>
      </c>
      <c r="I34" s="5" t="s">
        <v>194</v>
      </c>
      <c r="J34" s="7" t="s">
        <v>39</v>
      </c>
    </row>
    <row r="35" customFormat="false" ht="23.85" hidden="false" customHeight="false" outlineLevel="0" collapsed="false">
      <c r="A35" s="5" t="s">
        <v>195</v>
      </c>
      <c r="B35" s="5" t="s">
        <v>169</v>
      </c>
      <c r="C35" s="5" t="s">
        <v>196</v>
      </c>
      <c r="D35" s="5" t="s">
        <v>197</v>
      </c>
      <c r="E35" s="8" t="s">
        <v>89</v>
      </c>
      <c r="F35" s="7" t="s">
        <v>35</v>
      </c>
      <c r="G35" s="7" t="s">
        <v>36</v>
      </c>
      <c r="H35" s="5" t="s">
        <v>198</v>
      </c>
      <c r="I35" s="5" t="s">
        <v>199</v>
      </c>
      <c r="J35" s="7" t="s">
        <v>44</v>
      </c>
    </row>
    <row r="36" customFormat="false" ht="23.85" hidden="false" customHeight="false" outlineLevel="0" collapsed="false">
      <c r="A36" s="5" t="s">
        <v>200</v>
      </c>
      <c r="B36" s="5" t="s">
        <v>75</v>
      </c>
      <c r="C36" s="5" t="s">
        <v>201</v>
      </c>
      <c r="D36" s="5" t="s">
        <v>202</v>
      </c>
      <c r="E36" s="8" t="s">
        <v>89</v>
      </c>
      <c r="F36" s="7" t="s">
        <v>35</v>
      </c>
      <c r="G36" s="7" t="s">
        <v>36</v>
      </c>
      <c r="H36" s="5" t="s">
        <v>203</v>
      </c>
      <c r="I36" s="5" t="s">
        <v>204</v>
      </c>
      <c r="J36" s="7" t="s">
        <v>44</v>
      </c>
    </row>
    <row r="37" customFormat="false" ht="23.85" hidden="false" customHeight="false" outlineLevel="0" collapsed="false">
      <c r="A37" s="5" t="s">
        <v>205</v>
      </c>
      <c r="B37" s="5" t="s">
        <v>86</v>
      </c>
      <c r="C37" s="5" t="s">
        <v>206</v>
      </c>
      <c r="D37" s="5" t="s">
        <v>207</v>
      </c>
      <c r="E37" s="9" t="s">
        <v>208</v>
      </c>
      <c r="F37" s="7" t="s">
        <v>209</v>
      </c>
      <c r="G37" s="7" t="s">
        <v>183</v>
      </c>
      <c r="H37" s="5" t="s">
        <v>210</v>
      </c>
      <c r="I37" s="5" t="s">
        <v>211</v>
      </c>
      <c r="J37" s="7" t="s">
        <v>103</v>
      </c>
    </row>
    <row r="38" customFormat="false" ht="23.85" hidden="false" customHeight="false" outlineLevel="0" collapsed="false">
      <c r="A38" s="5" t="s">
        <v>212</v>
      </c>
      <c r="B38" s="5" t="s">
        <v>86</v>
      </c>
      <c r="C38" s="5" t="s">
        <v>213</v>
      </c>
      <c r="D38" s="5" t="s">
        <v>214</v>
      </c>
      <c r="E38" s="9" t="s">
        <v>208</v>
      </c>
      <c r="F38" s="7" t="s">
        <v>209</v>
      </c>
      <c r="G38" s="7" t="s">
        <v>183</v>
      </c>
      <c r="H38" s="5" t="s">
        <v>210</v>
      </c>
      <c r="I38" s="5" t="s">
        <v>215</v>
      </c>
      <c r="J38" s="7" t="s">
        <v>39</v>
      </c>
    </row>
    <row r="39" customFormat="false" ht="23.85" hidden="false" customHeight="false" outlineLevel="0" collapsed="false">
      <c r="A39" s="5" t="s">
        <v>216</v>
      </c>
      <c r="B39" s="5" t="s">
        <v>49</v>
      </c>
      <c r="C39" s="5" t="s">
        <v>217</v>
      </c>
      <c r="D39" s="5" t="s">
        <v>218</v>
      </c>
      <c r="E39" s="9" t="s">
        <v>208</v>
      </c>
      <c r="F39" s="7" t="s">
        <v>209</v>
      </c>
      <c r="G39" s="7" t="s">
        <v>183</v>
      </c>
      <c r="H39" s="5" t="s">
        <v>210</v>
      </c>
      <c r="I39" s="5" t="s">
        <v>215</v>
      </c>
      <c r="J39" s="7" t="s">
        <v>39</v>
      </c>
    </row>
    <row r="40" customFormat="false" ht="23.85" hidden="false" customHeight="false" outlineLevel="0" collapsed="false">
      <c r="A40" s="5" t="s">
        <v>219</v>
      </c>
      <c r="B40" s="5" t="s">
        <v>31</v>
      </c>
      <c r="C40" s="5" t="s">
        <v>220</v>
      </c>
      <c r="D40" s="5" t="s">
        <v>221</v>
      </c>
      <c r="E40" s="9" t="s">
        <v>208</v>
      </c>
      <c r="F40" s="7" t="s">
        <v>209</v>
      </c>
      <c r="G40" s="7" t="s">
        <v>183</v>
      </c>
      <c r="H40" s="5" t="s">
        <v>222</v>
      </c>
      <c r="I40" s="5" t="s">
        <v>141</v>
      </c>
      <c r="J40" s="7" t="s">
        <v>39</v>
      </c>
    </row>
    <row r="41" customFormat="false" ht="23.85" hidden="false" customHeight="false" outlineLevel="0" collapsed="false">
      <c r="A41" s="5" t="s">
        <v>223</v>
      </c>
      <c r="B41" s="5" t="s">
        <v>63</v>
      </c>
      <c r="C41" s="5" t="s">
        <v>224</v>
      </c>
      <c r="D41" s="5" t="s">
        <v>225</v>
      </c>
      <c r="E41" s="9" t="s">
        <v>208</v>
      </c>
      <c r="F41" s="7" t="s">
        <v>209</v>
      </c>
      <c r="G41" s="7" t="s">
        <v>183</v>
      </c>
      <c r="H41" s="5" t="s">
        <v>210</v>
      </c>
      <c r="I41" s="5" t="s">
        <v>215</v>
      </c>
      <c r="J41" s="7" t="s">
        <v>39</v>
      </c>
    </row>
    <row r="42" customFormat="false" ht="23.85" hidden="false" customHeight="false" outlineLevel="0" collapsed="false">
      <c r="A42" s="5" t="s">
        <v>226</v>
      </c>
      <c r="B42" s="5" t="s">
        <v>180</v>
      </c>
      <c r="C42" s="5" t="s">
        <v>227</v>
      </c>
      <c r="D42" s="5" t="s">
        <v>228</v>
      </c>
      <c r="E42" s="9" t="s">
        <v>208</v>
      </c>
      <c r="F42" s="7" t="s">
        <v>209</v>
      </c>
      <c r="G42" s="7" t="s">
        <v>229</v>
      </c>
      <c r="H42" s="5" t="s">
        <v>230</v>
      </c>
      <c r="I42" s="5" t="s">
        <v>231</v>
      </c>
      <c r="J42" s="7" t="s">
        <v>103</v>
      </c>
    </row>
    <row r="43" customFormat="false" ht="23.85" hidden="false" customHeight="false" outlineLevel="0" collapsed="false">
      <c r="A43" s="5" t="s">
        <v>232</v>
      </c>
      <c r="B43" s="5" t="s">
        <v>180</v>
      </c>
      <c r="C43" s="5" t="s">
        <v>233</v>
      </c>
      <c r="D43" s="5" t="s">
        <v>234</v>
      </c>
      <c r="E43" s="9" t="s">
        <v>208</v>
      </c>
      <c r="F43" s="7" t="s">
        <v>209</v>
      </c>
      <c r="G43" s="7" t="s">
        <v>229</v>
      </c>
      <c r="H43" s="5" t="s">
        <v>235</v>
      </c>
      <c r="I43" s="5" t="s">
        <v>236</v>
      </c>
      <c r="J43" s="7" t="s">
        <v>39</v>
      </c>
    </row>
    <row r="44" customFormat="false" ht="23.85" hidden="false" customHeight="false" outlineLevel="0" collapsed="false">
      <c r="A44" s="5" t="s">
        <v>237</v>
      </c>
      <c r="B44" s="5" t="s">
        <v>71</v>
      </c>
      <c r="C44" s="5" t="s">
        <v>238</v>
      </c>
      <c r="D44" s="5" t="s">
        <v>239</v>
      </c>
      <c r="E44" s="9" t="s">
        <v>208</v>
      </c>
      <c r="F44" s="7" t="s">
        <v>209</v>
      </c>
      <c r="G44" s="7" t="s">
        <v>183</v>
      </c>
      <c r="H44" s="5" t="s">
        <v>240</v>
      </c>
      <c r="I44" s="5" t="s">
        <v>241</v>
      </c>
      <c r="J44" s="7" t="s">
        <v>103</v>
      </c>
    </row>
    <row r="45" customFormat="false" ht="23.85" hidden="false" customHeight="false" outlineLevel="0" collapsed="false">
      <c r="A45" s="5" t="s">
        <v>242</v>
      </c>
      <c r="B45" s="5" t="s">
        <v>109</v>
      </c>
      <c r="C45" s="5" t="s">
        <v>243</v>
      </c>
      <c r="D45" s="5" t="s">
        <v>244</v>
      </c>
      <c r="E45" s="9" t="s">
        <v>208</v>
      </c>
      <c r="F45" s="7" t="s">
        <v>209</v>
      </c>
      <c r="G45" s="7" t="s">
        <v>183</v>
      </c>
      <c r="H45" s="5" t="s">
        <v>240</v>
      </c>
      <c r="I45" s="5" t="s">
        <v>245</v>
      </c>
      <c r="J45" s="7" t="s">
        <v>39</v>
      </c>
    </row>
    <row r="46" customFormat="false" ht="23.85" hidden="false" customHeight="false" outlineLevel="0" collapsed="false">
      <c r="A46" s="5" t="s">
        <v>246</v>
      </c>
      <c r="B46" s="5" t="s">
        <v>109</v>
      </c>
      <c r="C46" s="5" t="s">
        <v>247</v>
      </c>
      <c r="D46" s="5" t="s">
        <v>248</v>
      </c>
      <c r="E46" s="9" t="s">
        <v>208</v>
      </c>
      <c r="F46" s="7" t="s">
        <v>209</v>
      </c>
      <c r="G46" s="7" t="s">
        <v>229</v>
      </c>
      <c r="H46" s="5" t="s">
        <v>249</v>
      </c>
      <c r="I46" s="5" t="s">
        <v>236</v>
      </c>
      <c r="J46" s="7" t="s">
        <v>39</v>
      </c>
    </row>
    <row r="47" customFormat="false" ht="23.85" hidden="false" customHeight="false" outlineLevel="0" collapsed="false">
      <c r="A47" s="5" t="s">
        <v>250</v>
      </c>
      <c r="B47" s="5" t="s">
        <v>71</v>
      </c>
      <c r="C47" s="5" t="s">
        <v>251</v>
      </c>
      <c r="D47" s="5" t="s">
        <v>252</v>
      </c>
      <c r="E47" s="9" t="s">
        <v>208</v>
      </c>
      <c r="F47" s="7" t="s">
        <v>209</v>
      </c>
      <c r="G47" s="7" t="s">
        <v>229</v>
      </c>
      <c r="H47" s="5" t="s">
        <v>253</v>
      </c>
      <c r="I47" s="5" t="s">
        <v>254</v>
      </c>
      <c r="J47" s="7" t="s">
        <v>103</v>
      </c>
    </row>
    <row r="48" customFormat="false" ht="23.85" hidden="false" customHeight="false" outlineLevel="0" collapsed="false">
      <c r="A48" s="5" t="s">
        <v>255</v>
      </c>
      <c r="B48" s="5" t="s">
        <v>180</v>
      </c>
      <c r="C48" s="5" t="s">
        <v>256</v>
      </c>
      <c r="D48" s="5" t="s">
        <v>257</v>
      </c>
      <c r="E48" s="9" t="s">
        <v>208</v>
      </c>
      <c r="F48" s="7" t="s">
        <v>209</v>
      </c>
      <c r="G48" s="7" t="s">
        <v>229</v>
      </c>
      <c r="H48" s="5" t="s">
        <v>258</v>
      </c>
      <c r="I48" s="5" t="s">
        <v>259</v>
      </c>
      <c r="J48" s="7" t="s">
        <v>103</v>
      </c>
    </row>
    <row r="49" customFormat="false" ht="23.85" hidden="false" customHeight="false" outlineLevel="0" collapsed="false">
      <c r="A49" s="5" t="s">
        <v>260</v>
      </c>
      <c r="B49" s="5" t="s">
        <v>49</v>
      </c>
      <c r="C49" s="5" t="s">
        <v>261</v>
      </c>
      <c r="D49" s="5" t="s">
        <v>262</v>
      </c>
      <c r="E49" s="9" t="s">
        <v>208</v>
      </c>
      <c r="F49" s="7" t="s">
        <v>209</v>
      </c>
      <c r="G49" s="7" t="s">
        <v>229</v>
      </c>
      <c r="H49" s="5" t="s">
        <v>263</v>
      </c>
      <c r="I49" s="5" t="s">
        <v>264</v>
      </c>
      <c r="J49" s="7" t="s">
        <v>103</v>
      </c>
    </row>
    <row r="50" customFormat="false" ht="23.85" hidden="false" customHeight="false" outlineLevel="0" collapsed="false">
      <c r="A50" s="5" t="s">
        <v>265</v>
      </c>
      <c r="B50" s="5" t="s">
        <v>86</v>
      </c>
      <c r="C50" s="5" t="s">
        <v>266</v>
      </c>
      <c r="D50" s="5" t="s">
        <v>267</v>
      </c>
      <c r="E50" s="9" t="s">
        <v>208</v>
      </c>
      <c r="F50" s="7" t="s">
        <v>145</v>
      </c>
      <c r="G50" s="7" t="s">
        <v>90</v>
      </c>
      <c r="H50" s="5" t="s">
        <v>253</v>
      </c>
      <c r="I50" s="5" t="s">
        <v>268</v>
      </c>
      <c r="J50" s="7" t="s">
        <v>44</v>
      </c>
    </row>
    <row r="51" customFormat="false" ht="23.85" hidden="false" customHeight="false" outlineLevel="0" collapsed="false">
      <c r="A51" s="5" t="s">
        <v>269</v>
      </c>
      <c r="B51" s="5" t="s">
        <v>169</v>
      </c>
      <c r="C51" s="5" t="s">
        <v>270</v>
      </c>
      <c r="D51" s="5" t="s">
        <v>271</v>
      </c>
      <c r="E51" s="9" t="s">
        <v>208</v>
      </c>
      <c r="F51" s="7" t="s">
        <v>209</v>
      </c>
      <c r="G51" s="7" t="s">
        <v>183</v>
      </c>
      <c r="H51" s="5" t="s">
        <v>240</v>
      </c>
      <c r="I51" s="5" t="s">
        <v>236</v>
      </c>
      <c r="J51" s="7" t="s">
        <v>44</v>
      </c>
    </row>
    <row r="52" customFormat="false" ht="15" hidden="false" customHeight="false" outlineLevel="0" collapsed="false">
      <c r="A52" s="5" t="s">
        <v>272</v>
      </c>
      <c r="B52" s="5" t="s">
        <v>67</v>
      </c>
      <c r="C52" s="5" t="s">
        <v>273</v>
      </c>
      <c r="D52" s="5" t="s">
        <v>274</v>
      </c>
      <c r="E52" s="9" t="s">
        <v>208</v>
      </c>
      <c r="F52" s="7" t="s">
        <v>145</v>
      </c>
      <c r="G52" s="7" t="s">
        <v>90</v>
      </c>
      <c r="H52" s="5" t="s">
        <v>210</v>
      </c>
      <c r="I52" s="5" t="s">
        <v>215</v>
      </c>
      <c r="J52" s="7" t="s">
        <v>44</v>
      </c>
    </row>
    <row r="53" customFormat="false" ht="23.85" hidden="false" customHeight="false" outlineLevel="0" collapsed="false">
      <c r="A53" s="5" t="s">
        <v>275</v>
      </c>
      <c r="B53" s="5" t="s">
        <v>109</v>
      </c>
      <c r="C53" s="5" t="s">
        <v>276</v>
      </c>
      <c r="D53" s="5" t="s">
        <v>277</v>
      </c>
      <c r="E53" s="9" t="s">
        <v>208</v>
      </c>
      <c r="F53" s="7" t="s">
        <v>145</v>
      </c>
      <c r="G53" s="7" t="s">
        <v>36</v>
      </c>
      <c r="H53" s="5" t="s">
        <v>278</v>
      </c>
      <c r="I53" s="5" t="s">
        <v>279</v>
      </c>
      <c r="J53" s="7" t="s">
        <v>44</v>
      </c>
    </row>
    <row r="54" customFormat="false" ht="35.05" hidden="false" customHeight="false" outlineLevel="0" collapsed="false">
      <c r="A54" s="5" t="s">
        <v>280</v>
      </c>
      <c r="B54" s="5" t="s">
        <v>281</v>
      </c>
      <c r="C54" s="5" t="s">
        <v>282</v>
      </c>
      <c r="D54" s="5" t="s">
        <v>283</v>
      </c>
      <c r="E54" s="10" t="s">
        <v>284</v>
      </c>
      <c r="F54" s="7" t="s">
        <v>209</v>
      </c>
      <c r="G54" s="7" t="s">
        <v>229</v>
      </c>
      <c r="H54" s="5" t="s">
        <v>285</v>
      </c>
      <c r="I54" s="5" t="s">
        <v>286</v>
      </c>
      <c r="J54" s="7" t="s">
        <v>103</v>
      </c>
    </row>
    <row r="55" customFormat="false" ht="23.85" hidden="false" customHeight="false" outlineLevel="0" collapsed="false">
      <c r="A55" s="5" t="s">
        <v>287</v>
      </c>
      <c r="B55" s="5" t="s">
        <v>281</v>
      </c>
      <c r="C55" s="5" t="s">
        <v>288</v>
      </c>
      <c r="D55" s="5" t="s">
        <v>289</v>
      </c>
      <c r="E55" s="10" t="s">
        <v>284</v>
      </c>
      <c r="F55" s="7" t="s">
        <v>209</v>
      </c>
      <c r="G55" s="7" t="s">
        <v>229</v>
      </c>
      <c r="H55" s="5" t="s">
        <v>290</v>
      </c>
      <c r="I55" s="5" t="s">
        <v>291</v>
      </c>
      <c r="J55" s="7" t="s">
        <v>103</v>
      </c>
    </row>
    <row r="56" customFormat="false" ht="23.85" hidden="false" customHeight="false" outlineLevel="0" collapsed="false">
      <c r="A56" s="5" t="s">
        <v>292</v>
      </c>
      <c r="B56" s="5" t="s">
        <v>281</v>
      </c>
      <c r="C56" s="5" t="s">
        <v>293</v>
      </c>
      <c r="D56" s="5" t="s">
        <v>294</v>
      </c>
      <c r="E56" s="10" t="s">
        <v>284</v>
      </c>
      <c r="F56" s="7" t="s">
        <v>209</v>
      </c>
      <c r="G56" s="7" t="s">
        <v>229</v>
      </c>
      <c r="H56" s="5" t="s">
        <v>295</v>
      </c>
      <c r="I56" s="5" t="s">
        <v>296</v>
      </c>
      <c r="J56" s="7" t="s">
        <v>103</v>
      </c>
    </row>
    <row r="57" customFormat="false" ht="35.05" hidden="false" customHeight="false" outlineLevel="0" collapsed="false">
      <c r="A57" s="5" t="s">
        <v>297</v>
      </c>
      <c r="B57" s="5" t="s">
        <v>281</v>
      </c>
      <c r="C57" s="5" t="s">
        <v>298</v>
      </c>
      <c r="D57" s="5" t="s">
        <v>299</v>
      </c>
      <c r="E57" s="10" t="s">
        <v>284</v>
      </c>
      <c r="F57" s="7" t="s">
        <v>209</v>
      </c>
      <c r="G57" s="7" t="s">
        <v>229</v>
      </c>
      <c r="H57" s="5" t="s">
        <v>300</v>
      </c>
      <c r="I57" s="5" t="s">
        <v>301</v>
      </c>
      <c r="J57" s="7" t="s">
        <v>39</v>
      </c>
    </row>
    <row r="58" customFormat="false" ht="23.85" hidden="false" customHeight="false" outlineLevel="0" collapsed="false">
      <c r="A58" s="5" t="s">
        <v>302</v>
      </c>
      <c r="B58" s="5" t="s">
        <v>281</v>
      </c>
      <c r="C58" s="5" t="s">
        <v>303</v>
      </c>
      <c r="D58" s="5" t="s">
        <v>304</v>
      </c>
      <c r="E58" s="10" t="s">
        <v>284</v>
      </c>
      <c r="F58" s="7" t="s">
        <v>209</v>
      </c>
      <c r="G58" s="7" t="s">
        <v>229</v>
      </c>
      <c r="H58" s="5" t="s">
        <v>305</v>
      </c>
      <c r="I58" s="5" t="s">
        <v>306</v>
      </c>
      <c r="J58" s="7" t="s">
        <v>39</v>
      </c>
    </row>
    <row r="59" customFormat="false" ht="23.85" hidden="false" customHeight="false" outlineLevel="0" collapsed="false">
      <c r="A59" s="5" t="s">
        <v>307</v>
      </c>
      <c r="B59" s="5" t="s">
        <v>281</v>
      </c>
      <c r="C59" s="5" t="s">
        <v>308</v>
      </c>
      <c r="D59" s="5" t="s">
        <v>309</v>
      </c>
      <c r="E59" s="10" t="s">
        <v>284</v>
      </c>
      <c r="F59" s="7" t="s">
        <v>209</v>
      </c>
      <c r="G59" s="7" t="s">
        <v>229</v>
      </c>
      <c r="H59" s="5" t="s">
        <v>310</v>
      </c>
      <c r="I59" s="5" t="s">
        <v>311</v>
      </c>
      <c r="J59" s="7" t="s">
        <v>103</v>
      </c>
    </row>
    <row r="60" customFormat="false" ht="23.85" hidden="false" customHeight="false" outlineLevel="0" collapsed="false">
      <c r="A60" s="5" t="s">
        <v>312</v>
      </c>
      <c r="B60" s="5" t="s">
        <v>281</v>
      </c>
      <c r="C60" s="5" t="s">
        <v>313</v>
      </c>
      <c r="D60" s="5" t="s">
        <v>314</v>
      </c>
      <c r="E60" s="10" t="s">
        <v>284</v>
      </c>
      <c r="F60" s="7" t="s">
        <v>209</v>
      </c>
      <c r="G60" s="7" t="s">
        <v>229</v>
      </c>
      <c r="H60" s="5" t="s">
        <v>315</v>
      </c>
      <c r="I60" s="5" t="s">
        <v>316</v>
      </c>
      <c r="J60" s="7" t="s">
        <v>39</v>
      </c>
    </row>
    <row r="61" customFormat="false" ht="23.85" hidden="false" customHeight="false" outlineLevel="0" collapsed="false">
      <c r="A61" s="5" t="s">
        <v>317</v>
      </c>
      <c r="B61" s="5" t="s">
        <v>281</v>
      </c>
      <c r="C61" s="5" t="s">
        <v>318</v>
      </c>
      <c r="D61" s="5" t="s">
        <v>319</v>
      </c>
      <c r="E61" s="10" t="s">
        <v>284</v>
      </c>
      <c r="F61" s="7" t="s">
        <v>209</v>
      </c>
      <c r="G61" s="7" t="s">
        <v>229</v>
      </c>
      <c r="H61" s="5" t="s">
        <v>320</v>
      </c>
      <c r="I61" s="5" t="s">
        <v>321</v>
      </c>
      <c r="J61" s="7" t="s">
        <v>39</v>
      </c>
    </row>
    <row r="62" customFormat="false" ht="23.85" hidden="false" customHeight="false" outlineLevel="0" collapsed="false">
      <c r="A62" s="5" t="s">
        <v>322</v>
      </c>
      <c r="B62" s="5" t="s">
        <v>323</v>
      </c>
      <c r="C62" s="5" t="s">
        <v>324</v>
      </c>
      <c r="D62" s="5" t="s">
        <v>325</v>
      </c>
      <c r="E62" s="8" t="s">
        <v>89</v>
      </c>
      <c r="F62" s="7" t="s">
        <v>35</v>
      </c>
      <c r="G62" s="7" t="s">
        <v>36</v>
      </c>
      <c r="H62" s="5" t="s">
        <v>326</v>
      </c>
      <c r="I62" s="5" t="s">
        <v>327</v>
      </c>
      <c r="J62" s="7" t="s">
        <v>44</v>
      </c>
    </row>
    <row r="63" customFormat="false" ht="23.85" hidden="false" customHeight="false" outlineLevel="0" collapsed="false">
      <c r="A63" s="5" t="s">
        <v>328</v>
      </c>
      <c r="B63" s="5" t="s">
        <v>323</v>
      </c>
      <c r="C63" s="5" t="s">
        <v>329</v>
      </c>
      <c r="D63" s="5" t="s">
        <v>330</v>
      </c>
      <c r="E63" s="8" t="s">
        <v>89</v>
      </c>
      <c r="F63" s="7" t="s">
        <v>35</v>
      </c>
      <c r="G63" s="7" t="s">
        <v>36</v>
      </c>
      <c r="H63" s="5" t="s">
        <v>331</v>
      </c>
      <c r="I63" s="5" t="s">
        <v>332</v>
      </c>
      <c r="J63" s="7" t="s">
        <v>44</v>
      </c>
    </row>
    <row r="64" customFormat="false" ht="23.85" hidden="false" customHeight="false" outlineLevel="0" collapsed="false">
      <c r="A64" s="5" t="s">
        <v>333</v>
      </c>
      <c r="B64" s="5" t="s">
        <v>323</v>
      </c>
      <c r="C64" s="5" t="s">
        <v>334</v>
      </c>
      <c r="D64" s="5" t="s">
        <v>335</v>
      </c>
      <c r="E64" s="8" t="s">
        <v>89</v>
      </c>
      <c r="F64" s="7" t="s">
        <v>35</v>
      </c>
      <c r="G64" s="7" t="s">
        <v>36</v>
      </c>
      <c r="H64" s="5" t="s">
        <v>336</v>
      </c>
      <c r="I64" s="5" t="s">
        <v>337</v>
      </c>
      <c r="J64" s="7" t="s">
        <v>44</v>
      </c>
    </row>
    <row r="65" customFormat="false" ht="23.85" hidden="false" customHeight="false" outlineLevel="0" collapsed="false">
      <c r="A65" s="5" t="s">
        <v>338</v>
      </c>
      <c r="B65" s="5" t="s">
        <v>323</v>
      </c>
      <c r="C65" s="5" t="s">
        <v>339</v>
      </c>
      <c r="D65" s="5" t="s">
        <v>340</v>
      </c>
      <c r="E65" s="8" t="s">
        <v>89</v>
      </c>
      <c r="F65" s="7" t="s">
        <v>35</v>
      </c>
      <c r="G65" s="7" t="s">
        <v>36</v>
      </c>
      <c r="H65" s="5" t="s">
        <v>166</v>
      </c>
      <c r="I65" s="5" t="s">
        <v>204</v>
      </c>
      <c r="J65" s="7" t="s">
        <v>44</v>
      </c>
    </row>
    <row r="66" customFormat="false" ht="35.05" hidden="false" customHeight="false" outlineLevel="0" collapsed="false">
      <c r="A66" s="5" t="s">
        <v>341</v>
      </c>
      <c r="B66" s="5" t="s">
        <v>323</v>
      </c>
      <c r="C66" s="5" t="s">
        <v>342</v>
      </c>
      <c r="D66" s="5" t="s">
        <v>343</v>
      </c>
      <c r="E66" s="8" t="s">
        <v>89</v>
      </c>
      <c r="F66" s="7" t="s">
        <v>35</v>
      </c>
      <c r="G66" s="7" t="s">
        <v>36</v>
      </c>
      <c r="H66" s="5" t="s">
        <v>344</v>
      </c>
      <c r="I66" s="5" t="s">
        <v>178</v>
      </c>
      <c r="J66" s="7" t="s">
        <v>44</v>
      </c>
    </row>
    <row r="67" customFormat="false" ht="23.85" hidden="false" customHeight="false" outlineLevel="0" collapsed="false">
      <c r="A67" s="5" t="s">
        <v>345</v>
      </c>
      <c r="B67" s="5" t="s">
        <v>323</v>
      </c>
      <c r="C67" s="5" t="s">
        <v>346</v>
      </c>
      <c r="D67" s="5" t="s">
        <v>347</v>
      </c>
      <c r="E67" s="8" t="s">
        <v>89</v>
      </c>
      <c r="F67" s="7" t="s">
        <v>35</v>
      </c>
      <c r="G67" s="7" t="s">
        <v>36</v>
      </c>
      <c r="H67" s="5" t="s">
        <v>348</v>
      </c>
      <c r="I67" s="5" t="s">
        <v>349</v>
      </c>
      <c r="J67" s="7" t="s">
        <v>39</v>
      </c>
    </row>
    <row r="68" customFormat="false" ht="23.85" hidden="false" customHeight="false" outlineLevel="0" collapsed="false">
      <c r="A68" s="5" t="s">
        <v>350</v>
      </c>
      <c r="B68" s="5" t="s">
        <v>323</v>
      </c>
      <c r="C68" s="5" t="s">
        <v>351</v>
      </c>
      <c r="D68" s="5" t="s">
        <v>352</v>
      </c>
      <c r="E68" s="8" t="s">
        <v>89</v>
      </c>
      <c r="F68" s="7" t="s">
        <v>145</v>
      </c>
      <c r="G68" s="7" t="s">
        <v>90</v>
      </c>
      <c r="H68" s="5" t="s">
        <v>353</v>
      </c>
      <c r="I68" s="5" t="s">
        <v>354</v>
      </c>
      <c r="J68" s="7" t="s">
        <v>44</v>
      </c>
    </row>
    <row r="69" customFormat="false" ht="23.85" hidden="false" customHeight="false" outlineLevel="0" collapsed="false">
      <c r="A69" s="5" t="s">
        <v>355</v>
      </c>
      <c r="B69" s="5" t="s">
        <v>323</v>
      </c>
      <c r="C69" s="5" t="s">
        <v>356</v>
      </c>
      <c r="D69" s="5" t="s">
        <v>357</v>
      </c>
      <c r="E69" s="8" t="s">
        <v>89</v>
      </c>
      <c r="F69" s="7" t="s">
        <v>35</v>
      </c>
      <c r="G69" s="7" t="s">
        <v>36</v>
      </c>
      <c r="H69" s="5" t="s">
        <v>198</v>
      </c>
      <c r="I69" s="5" t="s">
        <v>358</v>
      </c>
      <c r="J69" s="7" t="s">
        <v>44</v>
      </c>
    </row>
    <row r="70" customFormat="false" ht="23.85" hidden="false" customHeight="false" outlineLevel="0" collapsed="false">
      <c r="A70" s="5" t="s">
        <v>359</v>
      </c>
      <c r="B70" s="5" t="s">
        <v>323</v>
      </c>
      <c r="C70" s="5" t="s">
        <v>360</v>
      </c>
      <c r="D70" s="5" t="s">
        <v>361</v>
      </c>
      <c r="E70" s="8" t="s">
        <v>89</v>
      </c>
      <c r="F70" s="7" t="s">
        <v>35</v>
      </c>
      <c r="G70" s="7" t="s">
        <v>36</v>
      </c>
      <c r="H70" s="5" t="s">
        <v>135</v>
      </c>
      <c r="I70" s="5" t="s">
        <v>362</v>
      </c>
      <c r="J70" s="7" t="s">
        <v>44</v>
      </c>
    </row>
    <row r="71" customFormat="false" ht="23.85" hidden="false" customHeight="false" outlineLevel="0" collapsed="false">
      <c r="A71" s="5" t="s">
        <v>363</v>
      </c>
      <c r="B71" s="5" t="s">
        <v>323</v>
      </c>
      <c r="C71" s="5" t="s">
        <v>364</v>
      </c>
      <c r="D71" s="5" t="s">
        <v>365</v>
      </c>
      <c r="E71" s="8" t="s">
        <v>89</v>
      </c>
      <c r="F71" s="7" t="s">
        <v>35</v>
      </c>
      <c r="G71" s="7" t="s">
        <v>90</v>
      </c>
      <c r="H71" s="5" t="s">
        <v>366</v>
      </c>
      <c r="I71" s="5" t="s">
        <v>367</v>
      </c>
      <c r="J71" s="7" t="s">
        <v>44</v>
      </c>
    </row>
  </sheetData>
  <autoFilter ref="A1:J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1" t="s">
        <v>368</v>
      </c>
      <c r="B1" s="12"/>
      <c r="C1" s="12"/>
      <c r="D1" s="12"/>
      <c r="E1" s="12"/>
    </row>
    <row r="2" customFormat="false" ht="15" hidden="false" customHeight="false" outlineLevel="0" collapsed="false">
      <c r="A2" s="12"/>
      <c r="B2" s="12"/>
      <c r="C2" s="12"/>
      <c r="D2" s="12"/>
      <c r="E2" s="12"/>
    </row>
    <row r="3" customFormat="false" ht="15" hidden="false" customHeight="false" outlineLevel="0" collapsed="false">
      <c r="A3" s="13" t="s">
        <v>369</v>
      </c>
      <c r="B3" s="13" t="s">
        <v>370</v>
      </c>
      <c r="C3" s="12"/>
      <c r="D3" s="13" t="s">
        <v>371</v>
      </c>
      <c r="E3" s="13" t="s">
        <v>370</v>
      </c>
    </row>
    <row r="4" customFormat="false" ht="15" hidden="false" customHeight="false" outlineLevel="0" collapsed="false">
      <c r="A4" s="12" t="s">
        <v>372</v>
      </c>
      <c r="B4" s="12" t="n">
        <f aca="false">COUNTIF(Backlog!E:E,"P0")</f>
        <v>12</v>
      </c>
      <c r="C4" s="12"/>
      <c r="D4" s="12" t="s">
        <v>36</v>
      </c>
      <c r="E4" s="12" t="n">
        <f aca="false">COUNTIF(Backlog!G:G,"Lot 1")</f>
        <v>26</v>
      </c>
    </row>
    <row r="5" customFormat="false" ht="15" hidden="false" customHeight="false" outlineLevel="0" collapsed="false">
      <c r="A5" s="12" t="s">
        <v>6</v>
      </c>
      <c r="B5" s="12" t="n">
        <f aca="false">COUNTIF(Backlog!E:E,"P1")</f>
        <v>33</v>
      </c>
      <c r="C5" s="12"/>
      <c r="D5" s="12" t="s">
        <v>90</v>
      </c>
      <c r="E5" s="12" t="n">
        <f aca="false">COUNTIF(Backlog!G:G,"Lot 2")</f>
        <v>21</v>
      </c>
    </row>
    <row r="6" customFormat="false" ht="15" hidden="false" customHeight="false" outlineLevel="0" collapsed="false">
      <c r="A6" s="12" t="s">
        <v>8</v>
      </c>
      <c r="B6" s="12" t="n">
        <f aca="false">COUNTIF(Backlog!E:E,"P2")</f>
        <v>17</v>
      </c>
      <c r="C6" s="12"/>
      <c r="D6" s="12" t="s">
        <v>183</v>
      </c>
      <c r="E6" s="12" t="n">
        <f aca="false">COUNTIF(Backlog!G:G,"Lot 3")</f>
        <v>9</v>
      </c>
    </row>
    <row r="7" customFormat="false" ht="15" hidden="false" customHeight="false" outlineLevel="0" collapsed="false">
      <c r="A7" s="12" t="s">
        <v>10</v>
      </c>
      <c r="B7" s="12" t="n">
        <f aca="false">COUNTIF(Backlog!E:E,"P3")</f>
        <v>8</v>
      </c>
      <c r="C7" s="12"/>
      <c r="D7" s="12" t="s">
        <v>229</v>
      </c>
      <c r="E7" s="12" t="n">
        <f aca="false">COUNTIF(Backlog!G:G,"Lot 4")</f>
        <v>14</v>
      </c>
    </row>
    <row r="8" customFormat="false" ht="15" hidden="false" customHeight="false" outlineLevel="0" collapsed="false">
      <c r="A8" s="13" t="s">
        <v>373</v>
      </c>
      <c r="B8" s="13" t="n">
        <f aca="false">SUM(B4:B7)</f>
        <v>70</v>
      </c>
      <c r="C8" s="12"/>
      <c r="D8" s="13" t="s">
        <v>373</v>
      </c>
      <c r="E8" s="13" t="n">
        <f aca="false">SUM(E4:E7)</f>
        <v>70</v>
      </c>
    </row>
    <row r="9" customFormat="false" ht="15" hidden="false" customHeight="false" outlineLevel="0" collapsed="false">
      <c r="A9" s="12"/>
      <c r="B9" s="12"/>
      <c r="C9" s="12"/>
      <c r="D9" s="12"/>
      <c r="E9" s="12"/>
    </row>
    <row r="10" customFormat="false" ht="15" hidden="false" customHeight="false" outlineLevel="0" collapsed="false">
      <c r="A10" s="14" t="s">
        <v>374</v>
      </c>
      <c r="B10" s="12"/>
      <c r="C10" s="12"/>
      <c r="D10" s="12"/>
      <c r="E10" s="12"/>
    </row>
    <row r="11" customFormat="false" ht="15" hidden="false" customHeight="false" outlineLevel="0" collapsed="false">
      <c r="A11" s="13" t="s">
        <v>23</v>
      </c>
      <c r="B11" s="13" t="s">
        <v>375</v>
      </c>
      <c r="C11" s="13" t="s">
        <v>376</v>
      </c>
      <c r="D11" s="12"/>
      <c r="E11" s="12"/>
    </row>
    <row r="12" customFormat="false" ht="15" hidden="false" customHeight="false" outlineLevel="0" collapsed="false">
      <c r="A12" s="12" t="s">
        <v>86</v>
      </c>
      <c r="B12" s="12" t="n">
        <f aca="false">COUNTIF(Backlog!B:B,"E01 Demande &amp; arbitrage")</f>
        <v>6</v>
      </c>
      <c r="C12" s="12" t="n">
        <f aca="false">COUNTIFS(Backlog!B:B,"E01 Demande &amp; arbitrage",Backlog!F:F,"Must")</f>
        <v>3</v>
      </c>
      <c r="D12" s="12"/>
      <c r="E12" s="12"/>
    </row>
    <row r="13" customFormat="false" ht="15" hidden="false" customHeight="false" outlineLevel="0" collapsed="false">
      <c r="A13" s="12" t="s">
        <v>31</v>
      </c>
      <c r="B13" s="12" t="n">
        <f aca="false">COUNTIF(Backlog!B:B,"E02 Planification")</f>
        <v>6</v>
      </c>
      <c r="C13" s="12" t="n">
        <f aca="false">COUNTIFS(Backlog!B:B,"E02 Planification",Backlog!F:F,"Must")</f>
        <v>5</v>
      </c>
      <c r="D13" s="12"/>
      <c r="E13" s="12"/>
    </row>
    <row r="14" customFormat="false" ht="15" hidden="false" customHeight="false" outlineLevel="0" collapsed="false">
      <c r="A14" s="12" t="s">
        <v>59</v>
      </c>
      <c r="B14" s="12" t="n">
        <f aca="false">COUNTIF(Backlog!B:B,"E03 Ressources &amp; temps")</f>
        <v>3</v>
      </c>
      <c r="C14" s="12" t="n">
        <f aca="false">COUNTIFS(Backlog!B:B,"E03 Ressources &amp; temps",Backlog!F:F,"Must")</f>
        <v>3</v>
      </c>
      <c r="D14" s="12"/>
      <c r="E14" s="12"/>
    </row>
    <row r="15" customFormat="false" ht="15" hidden="false" customHeight="false" outlineLevel="0" collapsed="false">
      <c r="A15" s="12" t="s">
        <v>63</v>
      </c>
      <c r="B15" s="12" t="n">
        <f aca="false">COUNTIF(Backlog!B:B,"E04 Budgets &amp; finances")</f>
        <v>3</v>
      </c>
      <c r="C15" s="12" t="n">
        <f aca="false">COUNTIFS(Backlog!B:B,"E04 Budgets &amp; finances",Backlog!F:F,"Must")</f>
        <v>2</v>
      </c>
      <c r="D15" s="12"/>
      <c r="E15" s="12"/>
    </row>
    <row r="16" customFormat="false" ht="15" hidden="false" customHeight="false" outlineLevel="0" collapsed="false">
      <c r="A16" s="12" t="s">
        <v>49</v>
      </c>
      <c r="B16" s="12" t="n">
        <f aca="false">COUNTIF(Backlog!B:B,"E05 Portefeuille &amp; comités")</f>
        <v>6</v>
      </c>
      <c r="C16" s="12" t="n">
        <f aca="false">COUNTIFS(Backlog!B:B,"E05 Portefeuille &amp; comités",Backlog!F:F,"Must")</f>
        <v>3</v>
      </c>
      <c r="D16" s="12"/>
      <c r="E16" s="12"/>
    </row>
    <row r="17" customFormat="false" ht="15" hidden="false" customHeight="false" outlineLevel="0" collapsed="false">
      <c r="A17" s="12" t="s">
        <v>67</v>
      </c>
      <c r="B17" s="12" t="n">
        <f aca="false">COUNTIF(Backlog!B:B,"E06 Collaboration &amp; tâches")</f>
        <v>3</v>
      </c>
      <c r="C17" s="12" t="n">
        <f aca="false">COUNTIFS(Backlog!B:B,"E06 Collaboration &amp; tâches",Backlog!F:F,"Must")</f>
        <v>1</v>
      </c>
      <c r="D17" s="12"/>
      <c r="E17" s="12"/>
    </row>
    <row r="18" customFormat="false" ht="15" hidden="false" customHeight="false" outlineLevel="0" collapsed="false">
      <c r="A18" s="12" t="s">
        <v>180</v>
      </c>
      <c r="B18" s="12" t="n">
        <f aca="false">COUNTIF(Backlog!B:B,"E07 IA &amp; agents")</f>
        <v>4</v>
      </c>
      <c r="C18" s="12" t="n">
        <f aca="false">COUNTIFS(Backlog!B:B,"E07 IA &amp; agents",Backlog!F:F,"Must")</f>
        <v>0</v>
      </c>
      <c r="D18" s="12"/>
      <c r="E18" s="12"/>
    </row>
    <row r="19" customFormat="false" ht="15" hidden="false" customHeight="false" outlineLevel="0" collapsed="false">
      <c r="A19" s="12" t="s">
        <v>71</v>
      </c>
      <c r="B19" s="12" t="n">
        <f aca="false">COUNTIF(Backlog!B:B,"E08 Gouvernance &amp; sécurité")</f>
        <v>7</v>
      </c>
      <c r="C19" s="12" t="n">
        <f aca="false">COUNTIFS(Backlog!B:B,"E08 Gouvernance &amp; sécurité",Backlog!F:F,"Must")</f>
        <v>5</v>
      </c>
      <c r="D19" s="12"/>
      <c r="E19" s="12"/>
    </row>
    <row r="20" customFormat="false" ht="15" hidden="false" customHeight="false" outlineLevel="0" collapsed="false">
      <c r="A20" s="12" t="s">
        <v>109</v>
      </c>
      <c r="B20" s="12" t="n">
        <f aca="false">COUNTIF(Backlog!B:B,"E09 Intégration SI")</f>
        <v>5</v>
      </c>
      <c r="C20" s="12" t="n">
        <f aca="false">COUNTIFS(Backlog!B:B,"E09 Intégration SI",Backlog!F:F,"Must")</f>
        <v>2</v>
      </c>
      <c r="D20" s="12"/>
      <c r="E20" s="12"/>
    </row>
    <row r="21" customFormat="false" ht="15" hidden="false" customHeight="false" outlineLevel="0" collapsed="false">
      <c r="A21" s="12" t="s">
        <v>169</v>
      </c>
      <c r="B21" s="12" t="n">
        <f aca="false">COUNTIF(Backlog!B:B,"E10 Licences &amp; réversibilité")</f>
        <v>4</v>
      </c>
      <c r="C21" s="12" t="n">
        <f aca="false">COUNTIFS(Backlog!B:B,"E10 Licences &amp; réversibilité",Backlog!F:F,"Must")</f>
        <v>3</v>
      </c>
      <c r="D21" s="12"/>
      <c r="E21" s="12"/>
    </row>
    <row r="22" customFormat="false" ht="15" hidden="false" customHeight="false" outlineLevel="0" collapsed="false">
      <c r="A22" s="12" t="s">
        <v>75</v>
      </c>
      <c r="B22" s="12" t="n">
        <f aca="false">COUNTIF(Backlog!B:B,"E11 NFR")</f>
        <v>5</v>
      </c>
      <c r="C22" s="12" t="n">
        <f aca="false">COUNTIFS(Backlog!B:B,"E11 NFR",Backlog!F:F,"Must")</f>
        <v>4</v>
      </c>
      <c r="D22" s="12"/>
      <c r="E22" s="12"/>
    </row>
    <row r="23" customFormat="false" ht="15" hidden="false" customHeight="false" outlineLevel="0" collapsed="false">
      <c r="A23" s="12" t="s">
        <v>281</v>
      </c>
      <c r="B23" s="12" t="n">
        <f aca="false">COUNTIF(Backlog!B:B,"E12 Innovation")</f>
        <v>8</v>
      </c>
      <c r="C23" s="12" t="n">
        <f aca="false">COUNTIFS(Backlog!B:B,"E12 Innovation",Backlog!F:F,"Must")</f>
        <v>0</v>
      </c>
      <c r="D23" s="12"/>
      <c r="E23" s="12"/>
    </row>
    <row r="24" customFormat="false" ht="15" hidden="false" customHeight="false" outlineLevel="0" collapsed="false">
      <c r="A24" s="12" t="s">
        <v>323</v>
      </c>
      <c r="B24" s="12" t="n">
        <f aca="false">COUNTIF(Backlog!B:B,"E13 Chantiers SI")</f>
        <v>10</v>
      </c>
      <c r="C24" s="12" t="n">
        <f aca="false">COUNTIFS(Backlog!B:B,"E13 Chantiers SI",Backlog!F:F,"Must")</f>
        <v>9</v>
      </c>
      <c r="D24" s="12"/>
      <c r="E24" s="12"/>
    </row>
    <row r="25" customFormat="false" ht="15" hidden="false" customHeight="false" outlineLevel="0" collapsed="false">
      <c r="A25" s="13" t="s">
        <v>373</v>
      </c>
      <c r="B25" s="13" t="n">
        <f aca="false">SUM(B12:B24)</f>
        <v>70</v>
      </c>
      <c r="C25" s="13" t="n">
        <f aca="false">SUM(C12:C24)</f>
        <v>40</v>
      </c>
      <c r="D25" s="12"/>
      <c r="E2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2026-07-04T11:34:12Z</dcterms:created>
  <dc:creator>openpyxl</dc:creator>
  <dc:description/>
  <dc:language>en-US</dc:language>
  <cp:lastModifiedBy/>
  <dcterms:modified xsi:type="dcterms:W3CDTF">2026-07-04T11:34:12Z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